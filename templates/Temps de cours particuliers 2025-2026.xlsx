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xr:revisionPtr revIDLastSave="0" documentId="8_{7F6E386D-8A23-465A-B1CB-0DF8EABCEF0A}" xr6:coauthVersionLast="47" xr6:coauthVersionMax="47" xr10:uidLastSave="{00000000-0000-0000-0000-000000000000}"/>
  <bookViews>
    <workbookView xWindow="22932" yWindow="-108" windowWidth="30936" windowHeight="16896" firstSheet="6" activeTab="6" xr2:uid="{00000000-000D-0000-FFFF-FFFF00000000}"/>
  </bookViews>
  <sheets>
    <sheet name="Données" sheetId="1" r:id="rId1"/>
    <sheet name="TCD" sheetId="7" r:id="rId2"/>
    <sheet name="Camille" sheetId="5" r:id="rId3"/>
    <sheet name="Valentine" sheetId="4" r:id="rId4"/>
    <sheet name="Léon" sheetId="15" r:id="rId5"/>
    <sheet name="Léane" sheetId="6" r:id="rId6"/>
    <sheet name="Recap" sheetId="14" r:id="rId7"/>
    <sheet name="Envoi des docs" sheetId="16" r:id="rId8"/>
    <sheet name="Feuil2" sheetId="17" r:id="rId9"/>
  </sheets>
  <definedNames>
    <definedName name="Donnees">Tableau1[]</definedName>
    <definedName name="Segment_Mois">#N/A</definedName>
    <definedName name="Segment_Projet_ou_client">#N/A</definedName>
    <definedName name="_xlnm.Print_Area" localSheetId="0">Données!$A1:$O319</definedName>
    <definedName name="_xlnm.Print_Area" localSheetId="3">Valentine!$A$1:$N$29</definedName>
  </definedNames>
  <calcPr calcId="191028"/>
  <pivotCaches>
    <pivotCache cacheId="555"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4" l="1"/>
  <c r="D7" i="14"/>
  <c r="C7" i="14"/>
  <c r="B29" i="6"/>
  <c r="B28" i="6"/>
  <c r="E18" i="6"/>
  <c r="E17" i="6"/>
  <c r="D17" i="6"/>
  <c r="E6" i="14"/>
  <c r="D6" i="14"/>
  <c r="B30" i="15"/>
  <c r="B29" i="15"/>
  <c r="E18" i="15"/>
  <c r="D18" i="15"/>
  <c r="D16" i="4"/>
  <c r="E5" i="14"/>
  <c r="D5" i="14"/>
  <c r="C5" i="14"/>
  <c r="B29" i="4"/>
  <c r="E16" i="4"/>
  <c r="G16" i="4" s="1" a="1"/>
  <c r="G16" i="4" s="1"/>
  <c r="E4" i="14"/>
  <c r="D4" i="14"/>
  <c r="B29" i="5"/>
  <c r="E17" i="5"/>
  <c r="E16" i="6"/>
  <c r="D16" i="6"/>
  <c r="E17" i="15"/>
  <c r="E16" i="15"/>
  <c r="D17" i="15"/>
  <c r="E16" i="5"/>
  <c r="B5" i="14"/>
  <c r="H25" i="4"/>
  <c r="D25" i="4"/>
  <c r="K24" i="4"/>
  <c r="J24" i="4"/>
  <c r="I24" i="4"/>
  <c r="E24" i="4"/>
  <c r="K23" i="4"/>
  <c r="J23" i="4"/>
  <c r="I23" i="4"/>
  <c r="E23" i="4"/>
  <c r="K22" i="4"/>
  <c r="J22" i="4"/>
  <c r="I22" i="4"/>
  <c r="E22" i="4"/>
  <c r="K21" i="4"/>
  <c r="J21" i="4"/>
  <c r="I21" i="4"/>
  <c r="E21" i="4"/>
  <c r="K20" i="4"/>
  <c r="J20" i="4"/>
  <c r="I20" i="4"/>
  <c r="E20" i="4"/>
  <c r="K19" i="4"/>
  <c r="J19" i="4"/>
  <c r="I19" i="4"/>
  <c r="E19" i="4"/>
  <c r="K18" i="4"/>
  <c r="J18" i="4"/>
  <c r="I18" i="4"/>
  <c r="E18" i="4"/>
  <c r="K17" i="4"/>
  <c r="J17" i="4"/>
  <c r="I17" i="4"/>
  <c r="E17" i="4"/>
  <c r="K16" i="4"/>
  <c r="J16" i="4"/>
  <c r="I16" i="4"/>
  <c r="K15" i="4"/>
  <c r="J15" i="4"/>
  <c r="I15" i="4"/>
  <c r="K14" i="4"/>
  <c r="K25" i="4" s="1"/>
  <c r="J14" i="4"/>
  <c r="I14" i="4"/>
  <c r="E14" i="4"/>
  <c r="F6" i="4"/>
  <c r="D16" i="15"/>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17"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258" i="1"/>
  <c r="C259" i="1"/>
  <c r="C260" i="1"/>
  <c r="C261" i="1"/>
  <c r="C262" i="1"/>
  <c r="C6" i="14"/>
  <c r="B7" i="6"/>
  <c r="B11" i="6"/>
  <c r="H25" i="6"/>
  <c r="D25" i="6"/>
  <c r="M24" i="6"/>
  <c r="K24" i="6"/>
  <c r="J24" i="6"/>
  <c r="I24" i="6"/>
  <c r="E24" i="6"/>
  <c r="G24" i="6" s="1" a="1"/>
  <c r="G24" i="6" s="1"/>
  <c r="M23" i="6"/>
  <c r="K23" i="6"/>
  <c r="J23" i="6"/>
  <c r="I23" i="6"/>
  <c r="N23" i="6" s="1"/>
  <c r="E23" i="6"/>
  <c r="M22" i="6"/>
  <c r="K22" i="6"/>
  <c r="J22" i="6"/>
  <c r="I22" i="6"/>
  <c r="E22" i="6"/>
  <c r="M21" i="6"/>
  <c r="K21" i="6"/>
  <c r="J21" i="6"/>
  <c r="I21" i="6"/>
  <c r="E21" i="6"/>
  <c r="G21" i="6" s="1" a="1"/>
  <c r="G21" i="6" s="1"/>
  <c r="M20" i="6"/>
  <c r="K20" i="6"/>
  <c r="J20" i="6"/>
  <c r="I20" i="6"/>
  <c r="N20" i="6" s="1"/>
  <c r="E20" i="6"/>
  <c r="G20" i="6" s="1" a="1"/>
  <c r="G20" i="6" s="1"/>
  <c r="M19" i="6"/>
  <c r="K19" i="6"/>
  <c r="J19" i="6"/>
  <c r="I19" i="6"/>
  <c r="E19" i="6"/>
  <c r="M18" i="6"/>
  <c r="K18" i="6"/>
  <c r="J18" i="6"/>
  <c r="I18" i="6"/>
  <c r="M17" i="6"/>
  <c r="K17" i="6"/>
  <c r="J17" i="6"/>
  <c r="I17" i="6"/>
  <c r="G17" i="6" a="1"/>
  <c r="G17" i="6" s="1"/>
  <c r="M16" i="6"/>
  <c r="K16" i="6"/>
  <c r="J16" i="6"/>
  <c r="I16" i="6"/>
  <c r="G16" i="6" a="1"/>
  <c r="G16" i="6" s="1"/>
  <c r="F16" i="6"/>
  <c r="M15" i="6"/>
  <c r="K15" i="6"/>
  <c r="J15" i="6"/>
  <c r="I15" i="6"/>
  <c r="M14" i="6"/>
  <c r="K14" i="6"/>
  <c r="J14" i="6"/>
  <c r="I14" i="6"/>
  <c r="E14" i="6"/>
  <c r="C14" i="6"/>
  <c r="B14" i="6"/>
  <c r="B11" i="15"/>
  <c r="B7" i="5"/>
  <c r="H25" i="5"/>
  <c r="K24" i="5"/>
  <c r="J24" i="5"/>
  <c r="I24" i="5"/>
  <c r="E24" i="5"/>
  <c r="K23" i="5"/>
  <c r="J23" i="5"/>
  <c r="I23" i="5"/>
  <c r="E23" i="5"/>
  <c r="G23" i="5" s="1" a="1"/>
  <c r="G23" i="5" s="1"/>
  <c r="K22" i="5"/>
  <c r="J22" i="5"/>
  <c r="I22" i="5"/>
  <c r="E22" i="5"/>
  <c r="G22" i="5" s="1" a="1"/>
  <c r="G22" i="5" s="1"/>
  <c r="K21" i="5"/>
  <c r="J21" i="5"/>
  <c r="I21" i="5"/>
  <c r="E21" i="5"/>
  <c r="K20" i="5"/>
  <c r="J20" i="5"/>
  <c r="I20" i="5"/>
  <c r="E20" i="5"/>
  <c r="F20" i="5" s="1"/>
  <c r="K19" i="5"/>
  <c r="J19" i="5"/>
  <c r="I19" i="5"/>
  <c r="E19" i="5"/>
  <c r="G19" i="5" s="1" a="1"/>
  <c r="G19" i="5" s="1"/>
  <c r="K18" i="5"/>
  <c r="J18" i="5"/>
  <c r="I18" i="5"/>
  <c r="E18" i="5"/>
  <c r="G18" i="5" s="1" a="1"/>
  <c r="G18" i="5" s="1"/>
  <c r="K17" i="5"/>
  <c r="J17" i="5"/>
  <c r="I17" i="5"/>
  <c r="K16" i="5"/>
  <c r="J16" i="5"/>
  <c r="I16" i="5"/>
  <c r="G16" i="5" a="1"/>
  <c r="G16" i="5" s="1"/>
  <c r="F16" i="5"/>
  <c r="K15" i="5"/>
  <c r="J15" i="5"/>
  <c r="I15" i="5"/>
  <c r="D25" i="5"/>
  <c r="K14" i="5"/>
  <c r="J14" i="5"/>
  <c r="I14" i="5"/>
  <c r="E14" i="5"/>
  <c r="G14" i="5" s="1" a="1"/>
  <c r="G14" i="5" s="1"/>
  <c r="C4" i="14" s="1"/>
  <c r="C14" i="5"/>
  <c r="B14" i="5"/>
  <c r="D15" i="15"/>
  <c r="D26" i="15" s="1"/>
  <c r="B16" i="15"/>
  <c r="B17" i="15"/>
  <c r="B18" i="15"/>
  <c r="B19" i="15"/>
  <c r="B20" i="15"/>
  <c r="B21" i="15"/>
  <c r="B22" i="15"/>
  <c r="B23" i="15"/>
  <c r="B24" i="15"/>
  <c r="B25" i="15"/>
  <c r="B15" i="15"/>
  <c r="B14" i="15"/>
  <c r="C16" i="15"/>
  <c r="C17" i="15" s="1"/>
  <c r="C18" i="15" s="1"/>
  <c r="C19" i="15" s="1"/>
  <c r="C20" i="15" s="1"/>
  <c r="C21" i="15" s="1"/>
  <c r="C22" i="15" s="1"/>
  <c r="C23" i="15" s="1"/>
  <c r="C24" i="15" s="1"/>
  <c r="C25" i="15" s="1"/>
  <c r="C15" i="15"/>
  <c r="C14" i="15"/>
  <c r="B7" i="15"/>
  <c r="I19" i="15"/>
  <c r="J19" i="15"/>
  <c r="I20" i="15"/>
  <c r="J20" i="15"/>
  <c r="I21" i="15"/>
  <c r="J21" i="15"/>
  <c r="I22" i="15"/>
  <c r="J22" i="15"/>
  <c r="I23" i="15"/>
  <c r="J23" i="15"/>
  <c r="I24" i="15"/>
  <c r="J24" i="15"/>
  <c r="I25" i="15"/>
  <c r="J25" i="15"/>
  <c r="N17" i="6" l="1"/>
  <c r="F16" i="4"/>
  <c r="J25" i="4"/>
  <c r="M24" i="4"/>
  <c r="M23" i="4"/>
  <c r="M22" i="4"/>
  <c r="M21" i="4"/>
  <c r="M20" i="4"/>
  <c r="M19" i="4"/>
  <c r="M18" i="4"/>
  <c r="M17" i="4"/>
  <c r="M16" i="4"/>
  <c r="M15" i="4"/>
  <c r="M14" i="4"/>
  <c r="M25" i="4" s="1"/>
  <c r="C14" i="4"/>
  <c r="C15" i="4" s="1"/>
  <c r="B14" i="4"/>
  <c r="E15" i="4"/>
  <c r="G14" i="4" a="1"/>
  <c r="G14" i="4" s="1"/>
  <c r="F14" i="4"/>
  <c r="I25" i="4"/>
  <c r="N14" i="4"/>
  <c r="N15" i="4"/>
  <c r="N16" i="4"/>
  <c r="G17" i="4" a="1"/>
  <c r="G17" i="4" s="1"/>
  <c r="F17" i="4"/>
  <c r="N17" i="4"/>
  <c r="G18" i="4" a="1"/>
  <c r="G18" i="4" s="1"/>
  <c r="F18" i="4"/>
  <c r="N18" i="4"/>
  <c r="G19" i="4" a="1"/>
  <c r="G19" i="4" s="1"/>
  <c r="F19" i="4"/>
  <c r="N19" i="4"/>
  <c r="G20" i="4" a="1"/>
  <c r="G20" i="4" s="1"/>
  <c r="F20" i="4"/>
  <c r="N20" i="4"/>
  <c r="G21" i="4" a="1"/>
  <c r="G21" i="4" s="1"/>
  <c r="F21" i="4"/>
  <c r="N21" i="4"/>
  <c r="G22" i="4" a="1"/>
  <c r="G22" i="4" s="1"/>
  <c r="F22" i="4"/>
  <c r="N22" i="4"/>
  <c r="G23" i="4" a="1"/>
  <c r="G23" i="4" s="1"/>
  <c r="F23" i="4"/>
  <c r="N23" i="4"/>
  <c r="G24" i="4" a="1"/>
  <c r="G24" i="4" s="1"/>
  <c r="F24" i="4"/>
  <c r="N24" i="4"/>
  <c r="G14" i="6" a="1"/>
  <c r="G14" i="6" s="1"/>
  <c r="E15" i="6"/>
  <c r="G15" i="6" s="1" a="1"/>
  <c r="G15" i="6" s="1"/>
  <c r="K25" i="6"/>
  <c r="G18" i="6" a="1"/>
  <c r="G18" i="6" s="1"/>
  <c r="G25" i="6" s="1"/>
  <c r="F18" i="6"/>
  <c r="F19" i="6"/>
  <c r="G19" i="6" a="1"/>
  <c r="G19" i="6" s="1"/>
  <c r="G22" i="6" a="1"/>
  <c r="G22" i="6" s="1"/>
  <c r="F22" i="6"/>
  <c r="F23" i="6"/>
  <c r="G23" i="6" a="1"/>
  <c r="G23" i="6" s="1"/>
  <c r="F21" i="5"/>
  <c r="G21" i="5" a="1"/>
  <c r="G21" i="5" s="1"/>
  <c r="G24" i="5" a="1"/>
  <c r="G24" i="5" s="1"/>
  <c r="F24" i="5"/>
  <c r="F157" i="1"/>
  <c r="L157" i="1" s="1"/>
  <c r="D157" i="1"/>
  <c r="F158" i="1"/>
  <c r="L158" i="1" s="1"/>
  <c r="D158" i="1"/>
  <c r="F159" i="1"/>
  <c r="L159" i="1" s="1"/>
  <c r="D159" i="1"/>
  <c r="F160" i="1"/>
  <c r="L160" i="1" s="1"/>
  <c r="D160" i="1"/>
  <c r="F161" i="1"/>
  <c r="L161" i="1" s="1"/>
  <c r="D161" i="1"/>
  <c r="F162" i="1"/>
  <c r="L162" i="1" s="1"/>
  <c r="D162" i="1"/>
  <c r="F163" i="1"/>
  <c r="L163" i="1" s="1"/>
  <c r="D163" i="1"/>
  <c r="F164" i="1"/>
  <c r="L164" i="1" s="1"/>
  <c r="D164" i="1"/>
  <c r="F165" i="1"/>
  <c r="L165" i="1" s="1"/>
  <c r="D165" i="1"/>
  <c r="F166" i="1"/>
  <c r="L166" i="1" s="1"/>
  <c r="D166" i="1"/>
  <c r="F167" i="1"/>
  <c r="L167" i="1" s="1"/>
  <c r="D167" i="1"/>
  <c r="F168" i="1"/>
  <c r="L168" i="1" s="1"/>
  <c r="D168" i="1"/>
  <c r="F169" i="1"/>
  <c r="L169" i="1" s="1"/>
  <c r="D169" i="1"/>
  <c r="F170" i="1"/>
  <c r="L170" i="1" s="1"/>
  <c r="D170" i="1"/>
  <c r="F171" i="1"/>
  <c r="L171" i="1" s="1"/>
  <c r="D171" i="1"/>
  <c r="F172" i="1"/>
  <c r="L172" i="1" s="1"/>
  <c r="D172" i="1"/>
  <c r="F173" i="1"/>
  <c r="L173" i="1" s="1"/>
  <c r="D173" i="1"/>
  <c r="F174" i="1"/>
  <c r="L174" i="1" s="1"/>
  <c r="D174" i="1"/>
  <c r="F175" i="1"/>
  <c r="L175" i="1" s="1"/>
  <c r="D175" i="1"/>
  <c r="F176" i="1"/>
  <c r="L176" i="1" s="1"/>
  <c r="D176" i="1"/>
  <c r="F177" i="1"/>
  <c r="L177" i="1" s="1"/>
  <c r="D177" i="1"/>
  <c r="F178" i="1"/>
  <c r="L178" i="1" s="1"/>
  <c r="D178" i="1"/>
  <c r="F179" i="1"/>
  <c r="L179" i="1" s="1"/>
  <c r="D179" i="1"/>
  <c r="F180" i="1"/>
  <c r="L180" i="1" s="1"/>
  <c r="D180" i="1"/>
  <c r="F181" i="1"/>
  <c r="L181" i="1" s="1"/>
  <c r="D181" i="1"/>
  <c r="F182" i="1"/>
  <c r="L182" i="1" s="1"/>
  <c r="D182" i="1"/>
  <c r="F183" i="1"/>
  <c r="L183" i="1" s="1"/>
  <c r="D183" i="1"/>
  <c r="F184" i="1"/>
  <c r="L184" i="1" s="1"/>
  <c r="D184" i="1"/>
  <c r="F185" i="1"/>
  <c r="L185" i="1" s="1"/>
  <c r="D185" i="1"/>
  <c r="F186" i="1"/>
  <c r="L186" i="1" s="1"/>
  <c r="D186" i="1"/>
  <c r="F187" i="1"/>
  <c r="L187" i="1" s="1"/>
  <c r="D187" i="1"/>
  <c r="F188" i="1"/>
  <c r="L188" i="1" s="1"/>
  <c r="D188" i="1"/>
  <c r="F189" i="1"/>
  <c r="L189" i="1" s="1"/>
  <c r="D189" i="1"/>
  <c r="F190" i="1"/>
  <c r="L190" i="1" s="1"/>
  <c r="D190" i="1"/>
  <c r="F191" i="1"/>
  <c r="L191" i="1" s="1"/>
  <c r="D191" i="1"/>
  <c r="F192" i="1"/>
  <c r="L192" i="1" s="1"/>
  <c r="D192" i="1"/>
  <c r="F193" i="1"/>
  <c r="L193" i="1" s="1"/>
  <c r="D193" i="1"/>
  <c r="F194" i="1"/>
  <c r="L194" i="1" s="1"/>
  <c r="D194" i="1"/>
  <c r="F195" i="1"/>
  <c r="L195" i="1" s="1"/>
  <c r="D195" i="1"/>
  <c r="F196" i="1"/>
  <c r="L196" i="1" s="1"/>
  <c r="D196" i="1"/>
  <c r="F197" i="1"/>
  <c r="L197" i="1" s="1"/>
  <c r="D197" i="1"/>
  <c r="F198" i="1"/>
  <c r="L198" i="1" s="1"/>
  <c r="D198" i="1"/>
  <c r="F199" i="1"/>
  <c r="L199" i="1" s="1"/>
  <c r="D199" i="1"/>
  <c r="F200" i="1"/>
  <c r="L200" i="1" s="1"/>
  <c r="D200" i="1"/>
  <c r="F201" i="1"/>
  <c r="L201" i="1" s="1"/>
  <c r="D201" i="1"/>
  <c r="F202" i="1"/>
  <c r="L202" i="1" s="1"/>
  <c r="D202" i="1"/>
  <c r="F203" i="1"/>
  <c r="L203" i="1" s="1"/>
  <c r="D203" i="1"/>
  <c r="F204" i="1"/>
  <c r="L204" i="1" s="1"/>
  <c r="D204" i="1"/>
  <c r="F205" i="1"/>
  <c r="L205" i="1" s="1"/>
  <c r="D205" i="1"/>
  <c r="F206" i="1"/>
  <c r="L206" i="1" s="1"/>
  <c r="D206" i="1"/>
  <c r="F207" i="1"/>
  <c r="L207" i="1" s="1"/>
  <c r="D207" i="1"/>
  <c r="F208" i="1"/>
  <c r="L208" i="1" s="1"/>
  <c r="D208" i="1"/>
  <c r="F209" i="1"/>
  <c r="L209" i="1" s="1"/>
  <c r="D209" i="1"/>
  <c r="F210" i="1"/>
  <c r="L210" i="1" s="1"/>
  <c r="D210" i="1"/>
  <c r="F211" i="1"/>
  <c r="L211" i="1" s="1"/>
  <c r="D211" i="1"/>
  <c r="F212" i="1"/>
  <c r="L212" i="1" s="1"/>
  <c r="D212" i="1"/>
  <c r="F213" i="1"/>
  <c r="L213" i="1" s="1"/>
  <c r="D213" i="1"/>
  <c r="F214" i="1"/>
  <c r="L214" i="1" s="1"/>
  <c r="D214" i="1"/>
  <c r="F215" i="1"/>
  <c r="L215" i="1" s="1"/>
  <c r="D215" i="1"/>
  <c r="F216" i="1"/>
  <c r="L216" i="1" s="1"/>
  <c r="D216" i="1"/>
  <c r="F217" i="1"/>
  <c r="L217" i="1" s="1"/>
  <c r="D217" i="1"/>
  <c r="F218" i="1"/>
  <c r="L218" i="1" s="1"/>
  <c r="D218" i="1"/>
  <c r="F219" i="1"/>
  <c r="L219" i="1" s="1"/>
  <c r="D219" i="1"/>
  <c r="F220" i="1"/>
  <c r="L220" i="1" s="1"/>
  <c r="D220" i="1"/>
  <c r="F221" i="1"/>
  <c r="L221" i="1" s="1"/>
  <c r="D221" i="1"/>
  <c r="F222" i="1"/>
  <c r="L222" i="1" s="1"/>
  <c r="D222" i="1"/>
  <c r="F223" i="1"/>
  <c r="L223" i="1" s="1"/>
  <c r="D223" i="1"/>
  <c r="F224" i="1"/>
  <c r="L224" i="1" s="1"/>
  <c r="D224" i="1"/>
  <c r="F225" i="1"/>
  <c r="L225" i="1" s="1"/>
  <c r="D225" i="1"/>
  <c r="F226" i="1"/>
  <c r="L226" i="1" s="1"/>
  <c r="D226" i="1"/>
  <c r="F227" i="1"/>
  <c r="L227" i="1" s="1"/>
  <c r="D227" i="1"/>
  <c r="F228" i="1"/>
  <c r="L228" i="1" s="1"/>
  <c r="D228" i="1"/>
  <c r="F229" i="1"/>
  <c r="L229" i="1" s="1"/>
  <c r="D229" i="1"/>
  <c r="F230" i="1"/>
  <c r="L230" i="1" s="1"/>
  <c r="D230" i="1"/>
  <c r="F231" i="1"/>
  <c r="L231" i="1" s="1"/>
  <c r="D231" i="1"/>
  <c r="F232" i="1"/>
  <c r="L232" i="1" s="1"/>
  <c r="D232" i="1"/>
  <c r="F233" i="1"/>
  <c r="L233" i="1" s="1"/>
  <c r="D233" i="1"/>
  <c r="F234" i="1"/>
  <c r="L234" i="1" s="1"/>
  <c r="D234" i="1"/>
  <c r="F235" i="1"/>
  <c r="L235" i="1" s="1"/>
  <c r="D235" i="1"/>
  <c r="F236" i="1"/>
  <c r="L236" i="1" s="1"/>
  <c r="D236" i="1"/>
  <c r="F237" i="1"/>
  <c r="L237" i="1" s="1"/>
  <c r="D237" i="1"/>
  <c r="F238" i="1"/>
  <c r="L238" i="1" s="1"/>
  <c r="D238" i="1"/>
  <c r="F239" i="1"/>
  <c r="L239" i="1" s="1"/>
  <c r="D239" i="1"/>
  <c r="F240" i="1"/>
  <c r="L240" i="1" s="1"/>
  <c r="D240" i="1"/>
  <c r="F241" i="1"/>
  <c r="L241" i="1" s="1"/>
  <c r="D241" i="1"/>
  <c r="F242" i="1"/>
  <c r="L242" i="1" s="1"/>
  <c r="D242" i="1"/>
  <c r="F243" i="1"/>
  <c r="L243" i="1" s="1"/>
  <c r="D243" i="1"/>
  <c r="F244" i="1"/>
  <c r="L244" i="1" s="1"/>
  <c r="D244" i="1"/>
  <c r="F245" i="1"/>
  <c r="L245" i="1" s="1"/>
  <c r="D245" i="1"/>
  <c r="F246" i="1"/>
  <c r="L246" i="1" s="1"/>
  <c r="D246" i="1"/>
  <c r="F247" i="1"/>
  <c r="L247" i="1" s="1"/>
  <c r="D247" i="1"/>
  <c r="F248" i="1"/>
  <c r="L248" i="1" s="1"/>
  <c r="D248" i="1"/>
  <c r="F249" i="1"/>
  <c r="L249" i="1" s="1"/>
  <c r="D249" i="1"/>
  <c r="F250" i="1"/>
  <c r="L250" i="1" s="1"/>
  <c r="D250" i="1"/>
  <c r="F251" i="1"/>
  <c r="L251" i="1" s="1"/>
  <c r="D251" i="1"/>
  <c r="F252" i="1"/>
  <c r="L252" i="1" s="1"/>
  <c r="D252" i="1"/>
  <c r="F253" i="1"/>
  <c r="L253" i="1" s="1"/>
  <c r="D253" i="1"/>
  <c r="F254" i="1"/>
  <c r="L254" i="1" s="1"/>
  <c r="D254" i="1"/>
  <c r="F255" i="1"/>
  <c r="L255" i="1" s="1"/>
  <c r="D255" i="1"/>
  <c r="F256" i="1"/>
  <c r="L256" i="1" s="1"/>
  <c r="D256" i="1"/>
  <c r="F257" i="1"/>
  <c r="L257" i="1" s="1"/>
  <c r="D257" i="1"/>
  <c r="N15" i="6"/>
  <c r="N19" i="6"/>
  <c r="N24" i="6"/>
  <c r="N22" i="6"/>
  <c r="N16" i="6"/>
  <c r="N18" i="6"/>
  <c r="N21" i="6"/>
  <c r="I25" i="6"/>
  <c r="J25" i="6"/>
  <c r="N14" i="6"/>
  <c r="F15" i="6"/>
  <c r="M25" i="6"/>
  <c r="F14" i="6"/>
  <c r="F17" i="6"/>
  <c r="F21" i="6"/>
  <c r="C15" i="6"/>
  <c r="C16" i="6" s="1"/>
  <c r="C17" i="6" s="1"/>
  <c r="C18" i="6" s="1"/>
  <c r="C19" i="6" s="1"/>
  <c r="C20" i="6" s="1"/>
  <c r="C21" i="6" s="1"/>
  <c r="C22" i="6" s="1"/>
  <c r="C23" i="6" s="1"/>
  <c r="C24" i="6" s="1"/>
  <c r="B24" i="6" s="1"/>
  <c r="F20" i="6"/>
  <c r="F24" i="6"/>
  <c r="K25" i="5"/>
  <c r="I25" i="5"/>
  <c r="J25" i="5"/>
  <c r="G20" i="5" a="1"/>
  <c r="G20" i="5" s="1"/>
  <c r="E15" i="5"/>
  <c r="F19" i="5"/>
  <c r="F23" i="5"/>
  <c r="F14" i="5"/>
  <c r="F18" i="5"/>
  <c r="F22" i="5"/>
  <c r="C15" i="5"/>
  <c r="C16" i="5" s="1"/>
  <c r="C17" i="5" s="1"/>
  <c r="C18" i="5" s="1"/>
  <c r="C19" i="5" s="1"/>
  <c r="C20" i="5" s="1"/>
  <c r="C21" i="5" s="1"/>
  <c r="C22" i="5" s="1"/>
  <c r="C23" i="5" s="1"/>
  <c r="C24" i="5" s="1"/>
  <c r="E19" i="15"/>
  <c r="E20" i="15"/>
  <c r="E21" i="15"/>
  <c r="E22" i="15"/>
  <c r="E23" i="15"/>
  <c r="E24" i="15"/>
  <c r="E25" i="15"/>
  <c r="P263" i="1"/>
  <c r="N25" i="6" l="1"/>
  <c r="N25" i="4"/>
  <c r="G15" i="4" a="1"/>
  <c r="G15" i="4" s="1"/>
  <c r="G25" i="4" s="1"/>
  <c r="F15" i="4"/>
  <c r="C16" i="4"/>
  <c r="B15" i="4"/>
  <c r="F263"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B23" i="6"/>
  <c r="B21" i="6"/>
  <c r="B22" i="6"/>
  <c r="B15" i="6"/>
  <c r="B19" i="6"/>
  <c r="B16" i="6"/>
  <c r="B20" i="6"/>
  <c r="B17" i="6"/>
  <c r="B18" i="6"/>
  <c r="B21" i="5"/>
  <c r="B23" i="5"/>
  <c r="B16" i="5"/>
  <c r="B24" i="5"/>
  <c r="G15" i="5" a="1"/>
  <c r="G15" i="5" s="1"/>
  <c r="G25" i="5" s="1"/>
  <c r="F15" i="5"/>
  <c r="B17" i="5"/>
  <c r="B15" i="5"/>
  <c r="B18" i="5"/>
  <c r="B19" i="5"/>
  <c r="B20" i="5"/>
  <c r="B22" i="5"/>
  <c r="F19" i="15"/>
  <c r="G19" i="15" a="1"/>
  <c r="G19" i="15" s="1"/>
  <c r="F20" i="15"/>
  <c r="G20" i="15" a="1"/>
  <c r="G20" i="15" s="1"/>
  <c r="F21" i="15"/>
  <c r="G21" i="15" a="1"/>
  <c r="G21" i="15" s="1"/>
  <c r="F22" i="15"/>
  <c r="G22" i="15" a="1"/>
  <c r="G22" i="15" s="1"/>
  <c r="F23" i="15"/>
  <c r="G23" i="15" a="1"/>
  <c r="G23" i="15" s="1"/>
  <c r="F24" i="15"/>
  <c r="G24" i="15" a="1"/>
  <c r="G24" i="15" s="1"/>
  <c r="G25" i="15" a="1"/>
  <c r="G25" i="15" s="1"/>
  <c r="F25" i="15"/>
  <c r="C17" i="4" l="1"/>
  <c r="B16" i="4"/>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G16" i="15" a="1"/>
  <c r="G16" i="15" s="1"/>
  <c r="J15" i="15"/>
  <c r="I15" i="15"/>
  <c r="I14" i="15"/>
  <c r="J14" i="15"/>
  <c r="J16" i="15"/>
  <c r="J17" i="15"/>
  <c r="J18" i="15"/>
  <c r="H26" i="15"/>
  <c r="I18" i="15"/>
  <c r="G18" i="15" a="1"/>
  <c r="G18" i="15" s="1"/>
  <c r="I17" i="15"/>
  <c r="F17" i="15"/>
  <c r="I16" i="15"/>
  <c r="F16" i="15"/>
  <c r="F6" i="15"/>
  <c r="B4" i="14"/>
  <c r="F6" i="6"/>
  <c r="F6" i="5"/>
  <c r="C18" i="4" l="1"/>
  <c r="B17" i="4"/>
  <c r="M19" i="5"/>
  <c r="N19" i="5" s="1"/>
  <c r="M16" i="5"/>
  <c r="N16" i="5" s="1"/>
  <c r="M22" i="5"/>
  <c r="N22" i="5" s="1"/>
  <c r="M15" i="5"/>
  <c r="M21" i="5"/>
  <c r="N21" i="5" s="1"/>
  <c r="M14" i="5"/>
  <c r="M23" i="5"/>
  <c r="N23" i="5" s="1"/>
  <c r="M20" i="5"/>
  <c r="N20" i="5" s="1"/>
  <c r="M18" i="5"/>
  <c r="N18" i="5" s="1"/>
  <c r="M24" i="5"/>
  <c r="N24" i="5" s="1"/>
  <c r="M17" i="5"/>
  <c r="N17" i="5" s="1"/>
  <c r="M20" i="15"/>
  <c r="N20" i="15" s="1"/>
  <c r="M19" i="15"/>
  <c r="N19" i="15" s="1"/>
  <c r="G17" i="15" a="1"/>
  <c r="G17" i="15" s="1"/>
  <c r="M22" i="15"/>
  <c r="N22" i="15" s="1"/>
  <c r="M21" i="15"/>
  <c r="N21" i="15" s="1"/>
  <c r="M24" i="15"/>
  <c r="N24" i="15" s="1"/>
  <c r="M23" i="15"/>
  <c r="N23" i="15" s="1"/>
  <c r="M25" i="15"/>
  <c r="N25" i="15" s="1"/>
  <c r="F18" i="15"/>
  <c r="M14" i="15"/>
  <c r="M17" i="15"/>
  <c r="N17" i="15" s="1"/>
  <c r="E14" i="15"/>
  <c r="M18" i="15"/>
  <c r="N18" i="15" s="1"/>
  <c r="M15" i="15"/>
  <c r="N15" i="15" s="1"/>
  <c r="I26" i="15"/>
  <c r="M16" i="15"/>
  <c r="C8" i="14"/>
  <c r="G3" i="7"/>
  <c r="N15" i="5" l="1"/>
  <c r="C19" i="4"/>
  <c r="B18" i="4"/>
  <c r="N14" i="5"/>
  <c r="N25" i="5" s="1"/>
  <c r="M25" i="5"/>
  <c r="K20" i="15"/>
  <c r="K19" i="15"/>
  <c r="K22" i="15"/>
  <c r="K21" i="15"/>
  <c r="K24" i="15"/>
  <c r="K23" i="15"/>
  <c r="K25" i="15"/>
  <c r="N16" i="15"/>
  <c r="K15" i="15"/>
  <c r="K17" i="15"/>
  <c r="K18" i="15"/>
  <c r="K14" i="15"/>
  <c r="K16" i="15"/>
  <c r="M26" i="15"/>
  <c r="N14" i="15"/>
  <c r="G14" i="15" a="1"/>
  <c r="G14" i="15" s="1"/>
  <c r="E15" i="15"/>
  <c r="F14" i="15"/>
  <c r="C20" i="4" l="1"/>
  <c r="B19" i="4"/>
  <c r="N26" i="15"/>
  <c r="F15" i="15"/>
  <c r="G15" i="15" a="1"/>
  <c r="G15" i="15" s="1"/>
  <c r="C21" i="4" l="1"/>
  <c r="B20" i="4"/>
  <c r="J26" i="15"/>
  <c r="K26" i="15"/>
  <c r="G26" i="15"/>
  <c r="C22" i="4" l="1"/>
  <c r="B21" i="4"/>
  <c r="E8" i="14"/>
  <c r="D8" i="14"/>
  <c r="C23" i="4" l="1"/>
  <c r="B22" i="4"/>
  <c r="C24" i="4" l="1"/>
  <c r="B24" i="4" s="1"/>
  <c r="B2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<sst xmlns="http://schemas.openxmlformats.org/spreadsheetml/2006/main" count="1055" uniqueCount="234">
  <si>
    <t>Décompte horaire</t>
  </si>
  <si>
    <t>Florence Louazel</t>
  </si>
  <si>
    <t/>
  </si>
  <si>
    <t>Période</t>
  </si>
  <si>
    <t>Projet ou client</t>
  </si>
  <si>
    <t>Date de début</t>
  </si>
  <si>
    <t>Mois</t>
  </si>
  <si>
    <t>Début</t>
  </si>
  <si>
    <t>Fin</t>
  </si>
  <si>
    <t>Durée</t>
  </si>
  <si>
    <t>Durée (heures et minutes)</t>
  </si>
  <si>
    <t>Tarif horaire</t>
  </si>
  <si>
    <t>Remboursements</t>
  </si>
  <si>
    <t>Remarques</t>
  </si>
  <si>
    <t>Payé / Non payé</t>
  </si>
  <si>
    <t>Gains</t>
  </si>
  <si>
    <t>Pause</t>
  </si>
  <si>
    <t>Autres revenus</t>
  </si>
  <si>
    <t>Taxes</t>
  </si>
  <si>
    <t>Type</t>
  </si>
  <si>
    <t>Création Entreprise</t>
  </si>
  <si>
    <t>24m</t>
  </si>
  <si>
    <t>Non payé</t>
  </si>
  <si>
    <t>Préparation ECAM</t>
  </si>
  <si>
    <t>54m</t>
  </si>
  <si>
    <t>Administratif</t>
  </si>
  <si>
    <t>31m</t>
  </si>
  <si>
    <t>27m</t>
  </si>
  <si>
    <t>Gestion Patrimoine</t>
  </si>
  <si>
    <t>1h 4min</t>
  </si>
  <si>
    <t>19m</t>
  </si>
  <si>
    <t>Préparation ISEN Maths</t>
  </si>
  <si>
    <t>1h 12min</t>
  </si>
  <si>
    <t>1h 8min</t>
  </si>
  <si>
    <t>5m</t>
  </si>
  <si>
    <t>2h 29min</t>
  </si>
  <si>
    <t>1h 15min</t>
  </si>
  <si>
    <t>10m</t>
  </si>
  <si>
    <t>Prospection</t>
  </si>
  <si>
    <t>11m</t>
  </si>
  <si>
    <t>Création Site</t>
  </si>
  <si>
    <t>12m</t>
  </si>
  <si>
    <t>25h 1min</t>
  </si>
  <si>
    <t>56m</t>
  </si>
  <si>
    <t>1h 41min</t>
  </si>
  <si>
    <t>LocatifPerso</t>
  </si>
  <si>
    <t>52m</t>
  </si>
  <si>
    <t>7m</t>
  </si>
  <si>
    <t>2h 7min</t>
  </si>
  <si>
    <t>1h 51min</t>
  </si>
  <si>
    <t>Préparation ISEN Rhétorique</t>
  </si>
  <si>
    <t>13m</t>
  </si>
  <si>
    <t>2h 43min</t>
  </si>
  <si>
    <t>1h 27min</t>
  </si>
  <si>
    <t>Préparation Cours/Échanges Parents</t>
  </si>
  <si>
    <t>21m</t>
  </si>
  <si>
    <t>Appel Sophie</t>
  </si>
  <si>
    <t>6m</t>
  </si>
  <si>
    <t>3h 16min</t>
  </si>
  <si>
    <t>1h 25min</t>
  </si>
  <si>
    <t>2h 12min</t>
  </si>
  <si>
    <t>1h 54min</t>
  </si>
  <si>
    <t>36m</t>
  </si>
  <si>
    <t>NDA et exonération TVA</t>
  </si>
  <si>
    <t>3h 5min</t>
  </si>
  <si>
    <t>Fin cours complexes</t>
  </si>
  <si>
    <t>15m</t>
  </si>
  <si>
    <t>1h 28min</t>
  </si>
  <si>
    <t>43m</t>
  </si>
  <si>
    <t>Planification/administratif ISEN</t>
  </si>
  <si>
    <t>41m</t>
  </si>
  <si>
    <t>Léon</t>
  </si>
  <si>
    <t>1h 29min</t>
  </si>
  <si>
    <t>1h 2min</t>
  </si>
  <si>
    <t>26m</t>
  </si>
  <si>
    <t>RDV Client</t>
  </si>
  <si>
    <t>53m</t>
  </si>
  <si>
    <t>St Félix</t>
  </si>
  <si>
    <t>Organisation</t>
  </si>
  <si>
    <t>30m</t>
  </si>
  <si>
    <t>9m</t>
  </si>
  <si>
    <t>1h 50min</t>
  </si>
  <si>
    <t>Début prep calculs algébriques</t>
  </si>
  <si>
    <t>17m</t>
  </si>
  <si>
    <t>Formation</t>
  </si>
  <si>
    <t>2h 16min</t>
  </si>
  <si>
    <t>8m</t>
  </si>
  <si>
    <t>Comptabilité</t>
  </si>
  <si>
    <t>ECAM</t>
  </si>
  <si>
    <t>6h 14min</t>
  </si>
  <si>
    <t>8h 0min</t>
  </si>
  <si>
    <t>7h 28min</t>
  </si>
  <si>
    <t>7h 34min</t>
  </si>
  <si>
    <t>49m</t>
  </si>
  <si>
    <t>14m</t>
  </si>
  <si>
    <t>9h 5min</t>
  </si>
  <si>
    <t>47m</t>
  </si>
  <si>
    <t>23m</t>
  </si>
  <si>
    <t>1h 21min</t>
  </si>
  <si>
    <t xml:space="preserve">RDV Lus Assurances </t>
  </si>
  <si>
    <t>JCE</t>
  </si>
  <si>
    <t>3h 38min</t>
  </si>
  <si>
    <t>1h 31min</t>
  </si>
  <si>
    <t>6h 58min</t>
  </si>
  <si>
    <t>ISEN</t>
  </si>
  <si>
    <t>3h 44min</t>
  </si>
  <si>
    <t>1h 37min</t>
  </si>
  <si>
    <t>37m</t>
  </si>
  <si>
    <t>4h 42min</t>
  </si>
  <si>
    <t>Communication</t>
  </si>
  <si>
    <t>Camille</t>
  </si>
  <si>
    <t>28m</t>
  </si>
  <si>
    <t>4h 35min</t>
  </si>
  <si>
    <t>20m</t>
  </si>
  <si>
    <t>1h 57min</t>
  </si>
  <si>
    <t>55m</t>
  </si>
  <si>
    <t>34m</t>
  </si>
  <si>
    <t>1h 22min</t>
  </si>
  <si>
    <t>2h 38min</t>
  </si>
  <si>
    <t>2h 14min</t>
  </si>
  <si>
    <t>38m</t>
  </si>
  <si>
    <t>39m</t>
  </si>
  <si>
    <t>3h 4min</t>
  </si>
  <si>
    <t>AMAP</t>
  </si>
  <si>
    <t>2h 36min</t>
  </si>
  <si>
    <t>1h 5min</t>
  </si>
  <si>
    <t>1h 0min</t>
  </si>
  <si>
    <t>Léane</t>
  </si>
  <si>
    <t>1h 16min</t>
  </si>
  <si>
    <t>40m</t>
  </si>
  <si>
    <t>4h 3min</t>
  </si>
  <si>
    <t>4h 48min</t>
  </si>
  <si>
    <t>3h 42min</t>
  </si>
  <si>
    <t>2h 30min</t>
  </si>
  <si>
    <t>4h 17min</t>
  </si>
  <si>
    <t>1h 1min</t>
  </si>
  <si>
    <t>1h 35min</t>
  </si>
  <si>
    <t>42m</t>
  </si>
  <si>
    <t>Impression DS</t>
  </si>
  <si>
    <t>Gratitude</t>
  </si>
  <si>
    <t>1h 32min</t>
  </si>
  <si>
    <t>4h 52min</t>
  </si>
  <si>
    <t>4h 24min</t>
  </si>
  <si>
    <t>1h 20min</t>
  </si>
  <si>
    <t>4h 32min</t>
  </si>
  <si>
    <t>25m</t>
  </si>
  <si>
    <t>4h 33min</t>
  </si>
  <si>
    <t>29m</t>
  </si>
  <si>
    <t>Réseau</t>
  </si>
  <si>
    <t>Config O365 pro</t>
  </si>
  <si>
    <t>Impôts Perso</t>
  </si>
  <si>
    <t>St Félix Cordées de la Réussite</t>
  </si>
  <si>
    <t>CorrectionDS</t>
  </si>
  <si>
    <t>2 copies</t>
  </si>
  <si>
    <t>9 copies</t>
  </si>
  <si>
    <t>5 copies</t>
  </si>
  <si>
    <t>Total 20 copies dont 4 copies pendant le temps imparti</t>
  </si>
  <si>
    <t>11 copies soit 31 copies au total</t>
  </si>
  <si>
    <t>7 copies</t>
  </si>
  <si>
    <t>Valentine</t>
  </si>
  <si>
    <t>EtudeClient</t>
  </si>
  <si>
    <t>St Félix Management</t>
  </si>
  <si>
    <t>Retours DS1 par mail</t>
  </si>
  <si>
    <t>Préparation St Félix</t>
  </si>
  <si>
    <t>Connaissance de soi</t>
  </si>
  <si>
    <t>Posture pro</t>
  </si>
  <si>
    <t xml:space="preserve">Posture pro </t>
  </si>
  <si>
    <t>Total</t>
  </si>
  <si>
    <t>Notes de la feuille de temps :</t>
  </si>
  <si>
    <t>Colonnes Pause et Durée : les heures au format décimal sont arrondies à deux décimales.</t>
  </si>
  <si>
    <t>Tarif horaire, Remboursements, Autres revenus et Gains sont dans '€'.</t>
  </si>
  <si>
    <t>La colonne Autres revenus ne fait l’objet d’aucune déduction fiscale.</t>
  </si>
  <si>
    <t>Gains sont calculés en heures et en minutes pour une précision maximale. Ils peuvent donc apparaître légèrement différents de ceux que vous donneriez si vous deviez multiplier la durée par le taux horaire. En effet, la colonne Longueur a été arrondie à deux décimales.</t>
  </si>
  <si>
    <r>
      <t xml:space="preserve">Généré par </t>
    </r>
    <r>
      <rPr>
        <b/>
        <sz val="11"/>
        <rFont val="Calibri"/>
        <family val="2"/>
      </rPr>
      <t>Time Squared</t>
    </r>
  </si>
  <si>
    <t>Cours particuliers</t>
  </si>
  <si>
    <t>(Plusieurs éléments)</t>
  </si>
  <si>
    <t>Étiquettes de lignes</t>
  </si>
  <si>
    <t>Somme de Durée</t>
  </si>
  <si>
    <t>Somme de Remboursements</t>
  </si>
  <si>
    <t>Somme de Gains</t>
  </si>
  <si>
    <t>Total général</t>
  </si>
  <si>
    <t>Camille CRETAL</t>
  </si>
  <si>
    <t>Classe</t>
  </si>
  <si>
    <t>4ème</t>
  </si>
  <si>
    <t>N° employeur</t>
  </si>
  <si>
    <t>Z3856707990000</t>
  </si>
  <si>
    <t>Distance domicile-eleve aller/retour</t>
  </si>
  <si>
    <t>Barème km</t>
  </si>
  <si>
    <t>Date de début des cours</t>
  </si>
  <si>
    <t>Date de fin des cours</t>
  </si>
  <si>
    <t>Prix net de l'heure</t>
  </si>
  <si>
    <t>Prix brut de l'heure</t>
  </si>
  <si>
    <t>Année</t>
  </si>
  <si>
    <t>N° mois</t>
  </si>
  <si>
    <t>Temps réel</t>
  </si>
  <si>
    <t>Cumul du temps à reporter</t>
  </si>
  <si>
    <t>Temps à reporter</t>
  </si>
  <si>
    <t>Temps rémunéré</t>
  </si>
  <si>
    <t>Temps déclaré</t>
  </si>
  <si>
    <t>Paiement effectué</t>
  </si>
  <si>
    <t>Salaire net</t>
  </si>
  <si>
    <t>Salaire brut</t>
  </si>
  <si>
    <t>Nombre de déplacements</t>
  </si>
  <si>
    <t>Frais de déplacement</t>
  </si>
  <si>
    <t>Mois à déclarer</t>
  </si>
  <si>
    <t>Nombre d'heure à déclarer</t>
  </si>
  <si>
    <t>Valentine PAITREAULT</t>
  </si>
  <si>
    <t>2nde générale</t>
  </si>
  <si>
    <t>Z3895566290003</t>
  </si>
  <si>
    <t>Léon PIETRI</t>
  </si>
  <si>
    <t>2nd bac pro</t>
  </si>
  <si>
    <t>Z396615259000</t>
  </si>
  <si>
    <t>Léane ROBERT</t>
  </si>
  <si>
    <t>Eleve</t>
  </si>
  <si>
    <t>Heures déclarées</t>
  </si>
  <si>
    <t>Bulletin de salaire</t>
  </si>
  <si>
    <t>En attente nov bulletin</t>
  </si>
  <si>
    <t>Z3922090090004</t>
  </si>
  <si>
    <t>Prénom</t>
  </si>
  <si>
    <t>Mail</t>
  </si>
  <si>
    <t>Document</t>
  </si>
  <si>
    <t>Darany &amp; Antoine</t>
  </si>
  <si>
    <t>famillecretal@gmail.com</t>
  </si>
  <si>
    <t>https://arythmeethic-my.sharepoint.com/personal/florence_louazel_arythmeethic_onmicrosoft_com/Documents/Documents/2025-2026/CESU/Antoine%20CRETAL%20-%20Camille/Temps_Novembre_25_Camille.pdf</t>
  </si>
  <si>
    <t>Alban</t>
  </si>
  <si>
    <t>apaitreault@aol.com</t>
  </si>
  <si>
    <t>https://arythmeethic-my.sharepoint.com/personal/florence_louazel_arythmeethic_onmicrosoft_com/Documents/Documents/2025-2026/CESU/Alban%20PAITREAULT%20-%20Valentine/Temps_nov_25_Valentine.pdf</t>
  </si>
  <si>
    <t>Sophie</t>
  </si>
  <si>
    <t>spapotti@gmail.com</t>
  </si>
  <si>
    <t>https://arythmeethic-my.sharepoint.com/personal/florence_louazel_arythmeethic_onmicrosoft_com/Documents/Documents/2025-2026/CESU/Sophie%20PAPOTI%20-%20Léon/Temps_nov_25_Leon.pdf</t>
  </si>
  <si>
    <t>Coralie</t>
  </si>
  <si>
    <t>coralierobert044@gmail.com</t>
  </si>
  <si>
    <t>https://arythmeethic-my.sharepoint.com/personal/florence_louazel_arythmeethic_onmicrosoft_com/Documents/Documents/2025-2026/CESU/Coralie%20ROBERT%20-%20Léane/Temps_nov_25_Leane.pdf</t>
  </si>
  <si>
    <t>florence.louazel@ARythmeEthic.onmicrosoft.com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</si>
</sst>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40C]mmm\-yy;@"/>
    <numFmt numFmtId="165" formatCode="0.000"/>
    <numFmt numFmtId="166" formatCode="_-* #,##0.000\ &quot;€&quot;_-;\-* #,##0.000\ &quot;€&quot;_-;_-* &quot;-&quot;??\ &quot;€&quot;_-;_-@_-"/>
    <numFmt numFmtId="167" formatCode="_-* #,##0.00\ &quot;€&quot;_-;\-* #,##0.00\ &quot;€&quot;_-;_-* &quot;-&quot;???\ &quot;€&quot;_-;_-@_-"/>
    <numFmt numFmtId="168" formatCode="_-* #,##0\ &quot;€&quot;_-;\-* #,##0\ &quot;€&quot;_-;_-* &quot;-&quot;??\ &quot;€&quot;_-;_-@_-"/>
    <numFmt numFmtId="169" formatCode="[$-40C]mmmm\-yy;@"/>
  </numFmts>
  <fonts count="10">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18"/>
      <color theme="1"/>
      <name val="Calibri"/>
      <family val="2"/>
      <scheme val="minor"/>
    </font>
    <font>
      <sz val="14"/>
      <color theme="1"/>
      <name val="Calibri"/>
      <family val="2"/>
      <scheme val="minor"/>
    </font>
    <font>
      <u/>
      <sz val="11"/>
      <color theme="10"/>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3">
    <xf numFmtId="0" fontId="0" fillId="0" borderId="0"/>
    <xf numFmtId="44" fontId="2" fillId="0" borderId="0" applyFont="0" applyFill="0" applyBorder="0" applyAlignment="0" applyProtection="0"/>
    <xf numFmtId="0" fontId="8" fillId="0" borderId="0" applyNumberFormat="0" applyFill="0" applyBorder="0" applyAlignment="0" applyProtection="0"/>
  </cellStyleXfs>
  <cellXfs count="49">
    <xf numFmtId="0" fontId="0" fillId="0" borderId="0" xfId="0"/>
    <xf numFmtId="0" fontId="0" fillId="0" borderId="0" xfId="0" applyAlignment="1">
      <alignment vertical="top" wrapText="1"/>
    </xf>
    <xf numFmtId="0" fontId="1" fillId="0" borderId="0" xfId="0" applyFont="1" applyAlignment="1">
      <alignment vertical="top" wrapText="1"/>
    </xf>
    <xf numFmtId="0" fontId="1" fillId="0" borderId="1" xfId="0" applyFont="1" applyBorder="1" applyAlignment="1">
      <alignment vertical="top" wrapText="1"/>
    </xf>
    <xf numFmtId="14" fontId="0" fillId="0" borderId="0" xfId="0" applyNumberFormat="1" applyAlignment="1">
      <alignment vertical="top" wrapText="1"/>
    </xf>
    <xf numFmtId="20" fontId="0" fillId="0" borderId="0" xfId="0" applyNumberFormat="1" applyAlignment="1">
      <alignment vertical="top" wrapText="1"/>
    </xf>
    <xf numFmtId="4" fontId="0" fillId="0" borderId="0" xfId="0" applyNumberFormat="1" applyAlignment="1">
      <alignment vertical="top" wrapText="1"/>
    </xf>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 fontId="0" fillId="0" borderId="0" xfId="0" applyNumberFormat="1"/>
    <xf numFmtId="44" fontId="0" fillId="0" borderId="0" xfId="0" applyNumberFormat="1"/>
    <xf numFmtId="0" fontId="3" fillId="0" borderId="0" xfId="0" applyFont="1"/>
    <xf numFmtId="165" fontId="0" fillId="0" borderId="0" xfId="0" applyNumberFormat="1"/>
    <xf numFmtId="1" fontId="0" fillId="0" borderId="0" xfId="0" applyNumberFormat="1"/>
    <xf numFmtId="166" fontId="0" fillId="0" borderId="0" xfId="1" applyNumberFormat="1" applyFont="1"/>
    <xf numFmtId="167" fontId="0" fillId="0" borderId="0" xfId="0" applyNumberFormat="1"/>
    <xf numFmtId="17" fontId="0" fillId="0" borderId="0" xfId="0" applyNumberFormat="1"/>
    <xf numFmtId="17" fontId="3" fillId="0" borderId="0" xfId="0" applyNumberFormat="1" applyFont="1"/>
    <xf numFmtId="1" fontId="3" fillId="0" borderId="0" xfId="0" applyNumberFormat="1" applyFont="1"/>
    <xf numFmtId="1" fontId="0" fillId="0" borderId="0" xfId="1" applyNumberFormat="1" applyFont="1"/>
    <xf numFmtId="168" fontId="0" fillId="0" borderId="0" xfId="1" applyNumberFormat="1" applyFont="1"/>
    <xf numFmtId="168" fontId="0" fillId="0" borderId="0" xfId="0" applyNumberFormat="1"/>
    <xf numFmtId="0" fontId="5" fillId="0" borderId="0" xfId="0" applyFont="1" applyAlignment="1">
      <alignment horizontal="center"/>
    </xf>
    <xf numFmtId="0" fontId="7" fillId="0" borderId="0" xfId="0" applyFont="1"/>
    <xf numFmtId="166" fontId="7" fillId="0" borderId="0" xfId="1" applyNumberFormat="1" applyFont="1"/>
    <xf numFmtId="14" fontId="7" fillId="0" borderId="0" xfId="0" applyNumberFormat="1" applyFont="1"/>
    <xf numFmtId="44" fontId="7" fillId="0" borderId="0" xfId="1" applyFont="1"/>
    <xf numFmtId="165" fontId="7" fillId="0" borderId="0" xfId="0" applyNumberFormat="1" applyFont="1"/>
    <xf numFmtId="1" fontId="7" fillId="0" borderId="0" xfId="0" applyNumberFormat="1" applyFont="1"/>
    <xf numFmtId="168" fontId="7" fillId="0" borderId="0" xfId="1" applyNumberFormat="1" applyFont="1"/>
    <xf numFmtId="1" fontId="7" fillId="0" borderId="0" xfId="1" applyNumberFormat="1" applyFont="1"/>
    <xf numFmtId="167" fontId="7" fillId="0" borderId="0" xfId="0" applyNumberFormat="1" applyFont="1"/>
    <xf numFmtId="168" fontId="7" fillId="0" borderId="0" xfId="0" applyNumberFormat="1" applyFont="1"/>
    <xf numFmtId="44" fontId="7" fillId="0" borderId="0" xfId="0" applyNumberFormat="1" applyFont="1"/>
    <xf numFmtId="0" fontId="5" fillId="0" borderId="0" xfId="0" applyFont="1"/>
    <xf numFmtId="17" fontId="5" fillId="0" borderId="0" xfId="0" applyNumberFormat="1" applyFont="1"/>
    <xf numFmtId="0" fontId="7" fillId="0" borderId="0" xfId="0" applyFont="1" applyAlignment="1">
      <alignment horizontal="center"/>
    </xf>
    <xf numFmtId="1" fontId="5" fillId="0" borderId="0" xfId="0" applyNumberFormat="1" applyFont="1"/>
    <xf numFmtId="169" fontId="0" fillId="0" borderId="0" xfId="0" applyNumberFormat="1" applyAlignment="1">
      <alignment vertical="top" wrapText="1"/>
    </xf>
    <xf numFmtId="169" fontId="0" fillId="0" borderId="0" xfId="0" applyNumberFormat="1"/>
    <xf numFmtId="169" fontId="7" fillId="0" borderId="0" xfId="0" applyNumberFormat="1" applyFont="1"/>
    <xf numFmtId="0" fontId="8" fillId="0" borderId="0" xfId="2"/>
    <xf numFmtId="0" fontId="9" fillId="0" borderId="0" xfId="0" applyFont="1"/>
    <xf numFmtId="0" fontId="0" fillId="0" borderId="0" xfId="0" applyAlignment="1">
      <alignment vertical="top" wrapText="1"/>
    </xf>
    <xf numFmtId="0" fontId="1" fillId="0" borderId="0" xfId="0" applyFont="1" applyAlignment="1">
      <alignment vertical="top" wrapText="1"/>
    </xf>
    <xf numFmtId="0" fontId="6" fillId="0" borderId="0" xfId="0" applyFont="1" applyAlignment="1">
      <alignment horizontal="center"/>
    </xf>
    <xf numFmtId="0" fontId="7" fillId="0" borderId="0" xfId="0" applyFont="1" applyAlignment="1">
      <alignment horizontal="center"/>
    </xf>
  </cellXfs>
  <cellStyles count="3">
    <cellStyle name="Lien hypertexte" xfId="2" builtinId="8"/>
    <cellStyle name="Monétaire" xfId="1" builtinId="4"/>
    <cellStyle name="Normal" xfId="0" builtinId="0"/>
  </cellStyles>
  <dxfs count="157">
    <dxf>
      <numFmt numFmtId="34" formatCode="_-* #,##0.00\ &quot;€&quot;_-;\-* #,##0.00\ &quot;€&quot;_-;_-* &quot;-&quot;??\ &quot;€&quot;_-;_-@_-"/>
    </dxf>
    <dxf>
      <numFmt numFmtId="34" formatCode="_-* #,##0.00\ &quot;€&quot;_-;\-* #,##0.00\ &quot;€&quot;_-;_-* &quot;-&quot;??\ &quot;€&quot;_-;_-@_-"/>
    </dxf>
    <dxf>
      <numFmt numFmtId="1" formatCode="0"/>
    </dxf>
    <dxf>
      <font>
        <color rgb="FF9C0006"/>
      </font>
      <fill>
        <patternFill>
          <bgColor rgb="FFFFC7CE"/>
        </patternFill>
      </fill>
    </dxf>
    <dxf>
      <font>
        <color rgb="FF9C0006"/>
      </font>
      <fill>
        <patternFill>
          <bgColor rgb="FFFFC7CE"/>
        </patternFill>
      </fill>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34" formatCode="_-* #,##0.00\ &quot;€&quot;_-;\-* #,##0.00\ &quot;€&quot;_-;_-* &quot;-&quot;??\ &quot;€&quot;_-;_-@_-"/>
    </dxf>
    <dxf>
      <font>
        <strike val="0"/>
        <outline val="0"/>
        <shadow val="0"/>
        <u val="none"/>
        <vertAlign val="baseline"/>
        <sz val="14"/>
        <color theme="1"/>
        <name val="Calibri"/>
        <family val="2"/>
        <scheme val="minor"/>
      </font>
      <numFmt numFmtId="167" formatCode="_-* #,##0.00\ &quot;€&quot;_-;\-* #,##0.00\ &quot;€&quot;_-;_-* &quot;-&quot;???\ &quot;€&quot;_-;_-@_-"/>
    </dxf>
    <dxf>
      <font>
        <b val="0"/>
        <i val="0"/>
        <strike val="0"/>
        <condense val="0"/>
        <extend val="0"/>
        <outline val="0"/>
        <shadow val="0"/>
        <u val="none"/>
        <vertAlign val="baseline"/>
        <sz val="14"/>
        <color theme="1"/>
        <name val="Calibri"/>
        <family val="2"/>
        <scheme val="minor"/>
      </font>
      <numFmt numFmtId="167" formatCode="_-* #,##0.00\ &quot;€&quot;_-;\-* #,##0.00\ &quot;€&quot;_-;_-* &quot;-&quot;???\ &quot;€&quot;_-;_-@_-"/>
    </dxf>
    <dxf>
      <font>
        <b val="0"/>
        <i val="0"/>
        <strike val="0"/>
        <condense val="0"/>
        <extend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34" formatCode="_-* #,##0.00\ &quot;€&quot;_-;\-* #,##0.00\ &quot;€&quot;_-;_-* &quot;-&quot;??\ &quot;€&quot;_-;_-@_-"/>
    </dxf>
    <dxf>
      <font>
        <b val="0"/>
        <i val="0"/>
        <strike val="0"/>
        <condense val="0"/>
        <extend val="0"/>
        <outline val="0"/>
        <shadow val="0"/>
        <u val="none"/>
        <vertAlign val="baseline"/>
        <sz val="14"/>
        <color theme="1"/>
        <name val="Calibri"/>
        <family val="2"/>
        <scheme val="minor"/>
      </font>
      <numFmt numFmtId="34" formatCode="_-* #,##0.00\ &quot;€&quot;_-;\-* #,##0.00\ &quot;€&quot;_-;_-* &quot;-&quot;??\ &quot;€&quot;_-;_-@_-"/>
    </dxf>
    <dxf>
      <font>
        <strike val="0"/>
        <outline val="0"/>
        <shadow val="0"/>
        <u val="none"/>
        <vertAlign val="baseline"/>
        <sz val="14"/>
        <color theme="1"/>
        <name val="Calibri"/>
        <family val="2"/>
        <scheme val="minor"/>
      </font>
      <numFmt numFmtId="168" formatCode="_-* #,##0\ &quot;€&quot;_-;\-* #,##0\ &quot;€&quot;_-;_-* &quot;-&quot;??\ &quot;€&quot;_-;_-@_-"/>
    </dxf>
    <dxf>
      <font>
        <b val="0"/>
        <i val="0"/>
        <strike val="0"/>
        <condense val="0"/>
        <extend val="0"/>
        <outline val="0"/>
        <shadow val="0"/>
        <u val="none"/>
        <vertAlign val="baseline"/>
        <sz val="14"/>
        <color theme="1"/>
        <name val="Calibri"/>
        <family val="2"/>
        <scheme val="minor"/>
      </font>
      <numFmt numFmtId="168" formatCode="_-* #,##0\ &quot;€&quot;_-;\-* #,##0\ &quot;€&quot;_-;_-* &quot;-&quot;??\ &quot;€&quot;_-;_-@_-"/>
    </dxf>
    <dxf>
      <font>
        <strike val="0"/>
        <outline val="0"/>
        <shadow val="0"/>
        <u val="none"/>
        <vertAlign val="baseline"/>
        <sz val="14"/>
        <color theme="1"/>
        <name val="Calibri"/>
        <family val="2"/>
        <scheme val="minor"/>
      </font>
      <numFmt numFmtId="168" formatCode="_-* #,##0\ &quot;€&quot;_-;\-* #,##0\ &quot;€&quot;_-;_-* &quot;-&quot;??\ &quot;€&quot;_-;_-@_-"/>
    </dxf>
    <dxf>
      <font>
        <b val="0"/>
        <i val="0"/>
        <strike val="0"/>
        <condense val="0"/>
        <extend val="0"/>
        <outline val="0"/>
        <shadow val="0"/>
        <u val="none"/>
        <vertAlign val="baseline"/>
        <sz val="14"/>
        <color theme="1"/>
        <name val="Calibri"/>
        <family val="2"/>
        <scheme val="minor"/>
      </font>
      <numFmt numFmtId="168" formatCode="_-* #,##0\ &quot;€&quot;_-;\-* #,##0\ &quot;€&quot;_-;_-* &quot;-&quot;??\ &quot;€&quot;_-;_-@_-"/>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65" formatCode="0.000"/>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65" formatCode="0.000"/>
    </dxf>
    <dxf>
      <font>
        <b val="0"/>
        <i val="0"/>
        <strike val="0"/>
        <condense val="0"/>
        <extend val="0"/>
        <outline val="0"/>
        <shadow val="0"/>
        <u val="none"/>
        <vertAlign val="baseline"/>
        <sz val="14"/>
        <color theme="1"/>
        <name val="Calibri"/>
        <family val="2"/>
        <scheme val="minor"/>
      </font>
      <numFmt numFmtId="165" formatCode="0.000"/>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70" formatCode="[$-40C]mmmmm;@"/>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color rgb="FF9C0006"/>
      </font>
      <fill>
        <patternFill>
          <bgColor rgb="FFFFC7CE"/>
        </patternFill>
      </fill>
    </dxf>
    <dxf>
      <numFmt numFmtId="34" formatCode="_-* #,##0.00\ &quot;€&quot;_-;\-* #,##0.00\ &quot;€&quot;_-;_-* &quot;-&quot;??\ &quot;€&quot;_-;_-@_-"/>
    </dxf>
    <dxf>
      <numFmt numFmtId="167" formatCode="_-* #,##0.00\ &quot;€&quot;_-;\-* #,##0.00\ &quot;€&quot;_-;_-* &quot;-&quot;???\ &quot;€&quot;_-;_-@_-"/>
    </dxf>
    <dxf>
      <numFmt numFmtId="167" formatCode="_-* #,##0.00\ &quot;€&quot;_-;\-* #,##0.00\ &quot;€&quot;_-;_-* &quot;-&quot;???\ &quot;€&quot;_-;_-@_-"/>
    </dxf>
    <dxf>
      <font>
        <b val="0"/>
        <i val="0"/>
        <strike val="0"/>
        <condense val="0"/>
        <extend val="0"/>
        <outline val="0"/>
        <shadow val="0"/>
        <u val="none"/>
        <vertAlign val="baseline"/>
        <sz val="11"/>
        <color theme="1"/>
        <name val="Calibri"/>
        <family val="2"/>
        <scheme val="minor"/>
      </font>
      <numFmt numFmtId="1" formatCode="0"/>
    </dxf>
    <dxf>
      <numFmt numFmtId="1" formatCode="0"/>
    </dxf>
    <dxf>
      <numFmt numFmtId="34" formatCode="_-* #,##0.00\ &quot;€&quot;_-;\-* #,##0.00\ &quot;€&quot;_-;_-* &quot;-&quot;??\ &quot;€&quot;_-;_-@_-"/>
    </dxf>
    <dxf>
      <numFmt numFmtId="34" formatCode="_-* #,##0.00\ &quot;€&quot;_-;\-* #,##0.00\ &quot;€&quot;_-;_-* &quot;-&quot;??\ &quot;€&quot;_-;_-@_-"/>
    </dxf>
    <dxf>
      <numFmt numFmtId="168" formatCode="_-* #,##0\ &quot;€&quot;_-;\-* #,##0\ &quot;€&quot;_-;_-* &quot;-&quot;??\ &quot;€&quot;_-;_-@_-"/>
    </dxf>
    <dxf>
      <numFmt numFmtId="168" formatCode="_-* #,##0\ &quot;€&quot;_-;\-* #,##0\ &quot;€&quot;_-;_-* &quot;-&quot;??\ &quot;€&quot;_-;_-@_-"/>
    </dxf>
    <dxf>
      <numFmt numFmtId="168" formatCode="_-* #,##0\ &quot;€&quot;_-;\-* #,##0\ &quot;€&quot;_-;_-* &quot;-&quot;??\ &quot;€&quot;_-;_-@_-"/>
    </dxf>
    <dxf>
      <numFmt numFmtId="168" formatCode="_-* #,##0\ &quot;€&quot;_-;\-* #,##0\ &quot;€&quot;_-;_-* &quot;-&quot;??\ &quot;€&quot;_-;_-@_-"/>
    </dxf>
    <dxf>
      <numFmt numFmtId="1" formatCode="0"/>
    </dxf>
    <dxf>
      <numFmt numFmtId="1" formatCode="0"/>
    </dxf>
    <dxf>
      <numFmt numFmtId="1" formatCode="0"/>
    </dxf>
    <dxf>
      <numFmt numFmtId="1" formatCode="0"/>
    </dxf>
    <dxf>
      <numFmt numFmtId="1" formatCode="0"/>
    </dxf>
    <dxf>
      <numFmt numFmtId="165" formatCode="0.000"/>
    </dxf>
    <dxf>
      <numFmt numFmtId="165" formatCode="0.000"/>
    </dxf>
    <dxf>
      <numFmt numFmtId="165" formatCode="0.000"/>
    </dxf>
    <dxf>
      <numFmt numFmtId="170" formatCode="[$-40C]mmmmm;@"/>
    </dxf>
    <dxf>
      <font>
        <color rgb="FF9C0006"/>
      </font>
      <fill>
        <patternFill>
          <bgColor rgb="FFFFC7CE"/>
        </patternFill>
      </fill>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34" formatCode="_-* #,##0.00\ &quot;€&quot;_-;\-* #,##0.00\ &quot;€&quot;_-;_-* &quot;-&quot;??\ &quot;€&quot;_-;_-@_-"/>
    </dxf>
    <dxf>
      <font>
        <strike val="0"/>
        <outline val="0"/>
        <shadow val="0"/>
        <u val="none"/>
        <vertAlign val="baseline"/>
        <sz val="14"/>
        <color theme="1"/>
        <name val="Calibri"/>
        <family val="2"/>
        <scheme val="minor"/>
      </font>
      <numFmt numFmtId="167" formatCode="_-* #,##0.00\ &quot;€&quot;_-;\-* #,##0.00\ &quot;€&quot;_-;_-* &quot;-&quot;???\ &quot;€&quot;_-;_-@_-"/>
    </dxf>
    <dxf>
      <font>
        <b val="0"/>
        <i val="0"/>
        <strike val="0"/>
        <condense val="0"/>
        <extend val="0"/>
        <outline val="0"/>
        <shadow val="0"/>
        <u val="none"/>
        <vertAlign val="baseline"/>
        <sz val="14"/>
        <color theme="1"/>
        <name val="Calibri"/>
        <family val="2"/>
        <scheme val="minor"/>
      </font>
      <numFmt numFmtId="167" formatCode="_-* #,##0.00\ &quot;€&quot;_-;\-* #,##0.00\ &quot;€&quot;_-;_-* &quot;-&quot;???\ &quot;€&quot;_-;_-@_-"/>
    </dxf>
    <dxf>
      <font>
        <b val="0"/>
        <i val="0"/>
        <strike val="0"/>
        <condense val="0"/>
        <extend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34" formatCode="_-* #,##0.00\ &quot;€&quot;_-;\-* #,##0.00\ &quot;€&quot;_-;_-* &quot;-&quot;??\ &quot;€&quot;_-;_-@_-"/>
    </dxf>
    <dxf>
      <font>
        <b val="0"/>
        <i val="0"/>
        <strike val="0"/>
        <condense val="0"/>
        <extend val="0"/>
        <outline val="0"/>
        <shadow val="0"/>
        <u val="none"/>
        <vertAlign val="baseline"/>
        <sz val="14"/>
        <color theme="1"/>
        <name val="Calibri"/>
        <family val="2"/>
        <scheme val="minor"/>
      </font>
      <numFmt numFmtId="34" formatCode="_-* #,##0.00\ &quot;€&quot;_-;\-* #,##0.00\ &quot;€&quot;_-;_-* &quot;-&quot;??\ &quot;€&quot;_-;_-@_-"/>
    </dxf>
    <dxf>
      <font>
        <strike val="0"/>
        <outline val="0"/>
        <shadow val="0"/>
        <u val="none"/>
        <vertAlign val="baseline"/>
        <sz val="14"/>
        <color theme="1"/>
        <name val="Calibri"/>
        <family val="2"/>
        <scheme val="minor"/>
      </font>
      <numFmt numFmtId="168" formatCode="_-* #,##0\ &quot;€&quot;_-;\-* #,##0\ &quot;€&quot;_-;_-* &quot;-&quot;??\ &quot;€&quot;_-;_-@_-"/>
    </dxf>
    <dxf>
      <font>
        <b val="0"/>
        <i val="0"/>
        <strike val="0"/>
        <condense val="0"/>
        <extend val="0"/>
        <outline val="0"/>
        <shadow val="0"/>
        <u val="none"/>
        <vertAlign val="baseline"/>
        <sz val="14"/>
        <color theme="1"/>
        <name val="Calibri"/>
        <family val="2"/>
        <scheme val="minor"/>
      </font>
      <numFmt numFmtId="168" formatCode="_-* #,##0\ &quot;€&quot;_-;\-* #,##0\ &quot;€&quot;_-;_-* &quot;-&quot;??\ &quot;€&quot;_-;_-@_-"/>
    </dxf>
    <dxf>
      <font>
        <strike val="0"/>
        <outline val="0"/>
        <shadow val="0"/>
        <u val="none"/>
        <vertAlign val="baseline"/>
        <sz val="14"/>
        <color theme="1"/>
        <name val="Calibri"/>
        <family val="2"/>
        <scheme val="minor"/>
      </font>
      <numFmt numFmtId="168" formatCode="_-* #,##0\ &quot;€&quot;_-;\-* #,##0\ &quot;€&quot;_-;_-* &quot;-&quot;??\ &quot;€&quot;_-;_-@_-"/>
    </dxf>
    <dxf>
      <font>
        <b val="0"/>
        <i val="0"/>
        <strike val="0"/>
        <condense val="0"/>
        <extend val="0"/>
        <outline val="0"/>
        <shadow val="0"/>
        <u val="none"/>
        <vertAlign val="baseline"/>
        <sz val="14"/>
        <color theme="1"/>
        <name val="Calibri"/>
        <family val="2"/>
        <scheme val="minor"/>
      </font>
      <numFmt numFmtId="168" formatCode="_-* #,##0\ &quot;€&quot;_-;\-* #,##0\ &quot;€&quot;_-;_-* &quot;-&quot;??\ &quot;€&quot;_-;_-@_-"/>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65" formatCode="0.000"/>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65" formatCode="0.000"/>
    </dxf>
    <dxf>
      <font>
        <b val="0"/>
        <i val="0"/>
        <strike val="0"/>
        <condense val="0"/>
        <extend val="0"/>
        <outline val="0"/>
        <shadow val="0"/>
        <u val="none"/>
        <vertAlign val="baseline"/>
        <sz val="14"/>
        <color theme="1"/>
        <name val="Calibri"/>
        <family val="2"/>
        <scheme val="minor"/>
      </font>
      <numFmt numFmtId="165" formatCode="0.000"/>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70" formatCode="[$-40C]mmmmm;@"/>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color rgb="FF9C0006"/>
      </font>
      <fill>
        <patternFill>
          <bgColor rgb="FFFFC7CE"/>
        </patternFill>
      </fill>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34" formatCode="_-* #,##0.00\ &quot;€&quot;_-;\-* #,##0.00\ &quot;€&quot;_-;_-* &quot;-&quot;??\ &quot;€&quot;_-;_-@_-"/>
    </dxf>
    <dxf>
      <font>
        <strike val="0"/>
        <outline val="0"/>
        <shadow val="0"/>
        <u val="none"/>
        <vertAlign val="baseline"/>
        <sz val="14"/>
        <color theme="1"/>
        <name val="Calibri"/>
        <family val="2"/>
        <scheme val="minor"/>
      </font>
      <numFmt numFmtId="167" formatCode="_-* #,##0.00\ &quot;€&quot;_-;\-* #,##0.00\ &quot;€&quot;_-;_-* &quot;-&quot;???\ &quot;€&quot;_-;_-@_-"/>
    </dxf>
    <dxf>
      <font>
        <b val="0"/>
        <i val="0"/>
        <strike val="0"/>
        <condense val="0"/>
        <extend val="0"/>
        <outline val="0"/>
        <shadow val="0"/>
        <u val="none"/>
        <vertAlign val="baseline"/>
        <sz val="14"/>
        <color theme="1"/>
        <name val="Calibri"/>
        <family val="2"/>
        <scheme val="minor"/>
      </font>
      <numFmt numFmtId="167" formatCode="_-* #,##0.00\ &quot;€&quot;_-;\-* #,##0.00\ &quot;€&quot;_-;_-* &quot;-&quot;???\ &quot;€&quot;_-;_-@_-"/>
    </dxf>
    <dxf>
      <font>
        <b val="0"/>
        <i val="0"/>
        <strike val="0"/>
        <condense val="0"/>
        <extend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34" formatCode="_-* #,##0.00\ &quot;€&quot;_-;\-* #,##0.00\ &quot;€&quot;_-;_-* &quot;-&quot;??\ &quot;€&quot;_-;_-@_-"/>
    </dxf>
    <dxf>
      <font>
        <b val="0"/>
        <i val="0"/>
        <strike val="0"/>
        <condense val="0"/>
        <extend val="0"/>
        <outline val="0"/>
        <shadow val="0"/>
        <u val="none"/>
        <vertAlign val="baseline"/>
        <sz val="14"/>
        <color theme="1"/>
        <name val="Calibri"/>
        <family val="2"/>
        <scheme val="minor"/>
      </font>
      <numFmt numFmtId="34" formatCode="_-* #,##0.00\ &quot;€&quot;_-;\-* #,##0.00\ &quot;€&quot;_-;_-* &quot;-&quot;??\ &quot;€&quot;_-;_-@_-"/>
    </dxf>
    <dxf>
      <font>
        <strike val="0"/>
        <outline val="0"/>
        <shadow val="0"/>
        <u val="none"/>
        <vertAlign val="baseline"/>
        <sz val="14"/>
        <color theme="1"/>
        <name val="Calibri"/>
        <family val="2"/>
        <scheme val="minor"/>
      </font>
      <numFmt numFmtId="168" formatCode="_-* #,##0\ &quot;€&quot;_-;\-* #,##0\ &quot;€&quot;_-;_-* &quot;-&quot;??\ &quot;€&quot;_-;_-@_-"/>
    </dxf>
    <dxf>
      <font>
        <b val="0"/>
        <i val="0"/>
        <strike val="0"/>
        <condense val="0"/>
        <extend val="0"/>
        <outline val="0"/>
        <shadow val="0"/>
        <u val="none"/>
        <vertAlign val="baseline"/>
        <sz val="14"/>
        <color theme="1"/>
        <name val="Calibri"/>
        <family val="2"/>
        <scheme val="minor"/>
      </font>
      <numFmt numFmtId="168" formatCode="_-* #,##0\ &quot;€&quot;_-;\-* #,##0\ &quot;€&quot;_-;_-* &quot;-&quot;??\ &quot;€&quot;_-;_-@_-"/>
    </dxf>
    <dxf>
      <font>
        <strike val="0"/>
        <outline val="0"/>
        <shadow val="0"/>
        <u val="none"/>
        <vertAlign val="baseline"/>
        <sz val="14"/>
        <color theme="1"/>
        <name val="Calibri"/>
        <family val="2"/>
        <scheme val="minor"/>
      </font>
      <numFmt numFmtId="168" formatCode="_-* #,##0\ &quot;€&quot;_-;\-* #,##0\ &quot;€&quot;_-;_-* &quot;-&quot;??\ &quot;€&quot;_-;_-@_-"/>
    </dxf>
    <dxf>
      <font>
        <b val="0"/>
        <i val="0"/>
        <strike val="0"/>
        <condense val="0"/>
        <extend val="0"/>
        <outline val="0"/>
        <shadow val="0"/>
        <u val="none"/>
        <vertAlign val="baseline"/>
        <sz val="14"/>
        <color theme="1"/>
        <name val="Calibri"/>
        <family val="2"/>
        <scheme val="minor"/>
      </font>
      <numFmt numFmtId="168" formatCode="_-* #,##0\ &quot;€&quot;_-;\-* #,##0\ &quot;€&quot;_-;_-* &quot;-&quot;??\ &quot;€&quot;_-;_-@_-"/>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numFmt numFmtId="1" formatCode="0"/>
    </dxf>
    <dxf>
      <font>
        <strike val="0"/>
        <outline val="0"/>
        <shadow val="0"/>
        <u val="none"/>
        <vertAlign val="baseline"/>
        <sz val="14"/>
        <color theme="1"/>
        <name val="Calibri"/>
        <family val="2"/>
        <scheme val="minor"/>
      </font>
      <numFmt numFmtId="1" formatCode="0"/>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65" formatCode="0.000"/>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65" formatCode="0.000"/>
    </dxf>
    <dxf>
      <font>
        <b val="0"/>
        <i val="0"/>
        <strike val="0"/>
        <condense val="0"/>
        <extend val="0"/>
        <outline val="0"/>
        <shadow val="0"/>
        <u val="none"/>
        <vertAlign val="baseline"/>
        <sz val="14"/>
        <color theme="1"/>
        <name val="Calibri"/>
        <family val="2"/>
        <scheme val="minor"/>
      </font>
      <numFmt numFmtId="165" formatCode="0.000"/>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70" formatCode="[$-40C]mmmmm;@"/>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color rgb="FF9C0006"/>
      </font>
      <fill>
        <patternFill>
          <bgColor rgb="FFFFC7CE"/>
        </patternFill>
      </fill>
    </dxf>
    <dxf>
      <numFmt numFmtId="4" formatCode="#,##0.00"/>
      <alignment horizontal="general" vertical="top" textRotation="0" wrapText="1" indent="0" justifyLastLine="0" shrinkToFit="0" readingOrder="0"/>
    </dxf>
    <dxf>
      <alignment horizontal="general" vertical="top" textRotation="0" wrapText="1" indent="0" justifyLastLine="0" shrinkToFit="0" readingOrder="0"/>
    </dxf>
    <dxf>
      <numFmt numFmtId="4" formatCode="#,##0.00"/>
      <alignment horizontal="general" vertical="top" textRotation="0" wrapText="1" indent="0" justifyLastLine="0" shrinkToFit="0" readingOrder="0"/>
    </dxf>
    <dxf>
      <alignment horizontal="general" vertical="top" textRotation="0" wrapText="1" indent="0" justifyLastLine="0" shrinkToFit="0" readingOrder="0"/>
    </dxf>
    <dxf>
      <numFmt numFmtId="4" formatCode="#,##0.00"/>
      <alignment horizontal="general" vertical="top" textRotation="0" wrapText="1" indent="0" justifyLastLine="0" shrinkToFit="0" readingOrder="0"/>
    </dxf>
    <dxf>
      <alignment horizontal="general" vertical="top" textRotation="0" wrapText="1" indent="0" justifyLastLine="0" shrinkToFit="0" readingOrder="0"/>
    </dxf>
    <dxf>
      <numFmt numFmtId="4" formatCode="#,##0.00"/>
      <alignment horizontal="general" vertical="top" textRotation="0" wrapText="1" indent="0" justifyLastLine="0" shrinkToFit="0" readingOrder="0"/>
    </dxf>
    <dxf>
      <alignment horizontal="general" vertical="top" textRotation="0" wrapText="1" indent="0" justifyLastLine="0" shrinkToFit="0" readingOrder="0"/>
    </dxf>
    <dxf>
      <numFmt numFmtId="4" formatCode="#,##0.00"/>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4" formatCode="#,##0.00"/>
      <alignment horizontal="general" vertical="top" textRotation="0" wrapText="1" indent="0" justifyLastLine="0" shrinkToFit="0" readingOrder="0"/>
    </dxf>
    <dxf>
      <alignment horizontal="general" vertical="top" textRotation="0" wrapText="1" indent="0" justifyLastLine="0" shrinkToFit="0" readingOrder="0"/>
    </dxf>
    <dxf>
      <numFmt numFmtId="4" formatCode="#,##0.00"/>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4" formatCode="#,##0.00"/>
      <alignment horizontal="general" vertical="top" textRotation="0" wrapText="1" indent="0" justifyLastLine="0" shrinkToFit="0" readingOrder="0"/>
    </dxf>
    <dxf>
      <numFmt numFmtId="4" formatCode="#,##0.00"/>
      <alignment horizontal="general" vertical="top" textRotation="0" wrapText="1" indent="0" justifyLastLine="0" shrinkToFit="0" readingOrder="0"/>
    </dxf>
    <dxf>
      <numFmt numFmtId="25" formatCode="hh:mm"/>
      <alignment horizontal="general" vertical="top" textRotation="0" wrapText="1" indent="0" justifyLastLine="0" shrinkToFit="0" readingOrder="0"/>
    </dxf>
    <dxf>
      <alignment horizontal="general" vertical="top" textRotation="0" wrapText="1" indent="0" justifyLastLine="0" shrinkToFit="0" readingOrder="0"/>
    </dxf>
    <dxf>
      <numFmt numFmtId="25" formatCode="hh:mm"/>
      <alignment horizontal="general" vertical="top" textRotation="0" wrapText="1" indent="0" justifyLastLine="0" shrinkToFit="0" readingOrder="0"/>
    </dxf>
    <dxf>
      <alignment horizontal="general" vertical="top" textRotation="0" wrapText="1" indent="0" justifyLastLine="0" shrinkToFit="0" readingOrder="0"/>
    </dxf>
    <dxf>
      <numFmt numFmtId="169" formatCode="[$-40C]mmmm\-yy;@"/>
      <alignment horizontal="general" vertical="top" textRotation="0" wrapText="1" indent="0" justifyLastLine="0" shrinkToFit="0" readingOrder="0"/>
    </dxf>
    <dxf>
      <alignment horizontal="general" vertical="top" textRotation="0" wrapText="1" indent="0" justifyLastLine="0" shrinkToFit="0" readingOrder="0"/>
    </dxf>
    <dxf>
      <numFmt numFmtId="19" formatCode="dd/mm/yyyy"/>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outline="0">
        <bottom style="thin">
          <color auto="1"/>
        </bottom>
      </border>
    </dxf>
    <dxf>
      <alignment horizontal="general" vertical="top" textRotation="0" wrapText="1" indent="0" justifyLastLine="0" shrinkToFit="0" readingOrder="0"/>
    </dxf>
    <dxf>
      <font>
        <b/>
        <i val="0"/>
        <strike val="0"/>
        <condense val="0"/>
        <extend val="0"/>
        <outline val="0"/>
        <shadow val="0"/>
        <u val="none"/>
        <vertAlign val="baseline"/>
        <sz val="11"/>
        <color auto="1"/>
        <name val="Calibri"/>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444943</xdr:colOff>
      <xdr:row>0</xdr:row>
      <xdr:rowOff>49659</xdr:rowOff>
    </xdr:from>
    <xdr:to>
      <xdr:col>9</xdr:col>
      <xdr:colOff>76199</xdr:colOff>
      <xdr:row>11</xdr:row>
      <xdr:rowOff>38100</xdr:rowOff>
    </xdr:to>
    <mc:AlternateContent xmlns:mc="http://schemas.openxmlformats.org/markup-compatibility/2006" xmlns:sle15="http://schemas.microsoft.com/office/drawing/2012/slicer">
      <mc:Choice Requires="sle15">
        <xdr:graphicFrame macro="">
          <xdr:nvGraphicFramePr>
            <xdr:cNvPr id="2" name="Projet ou client">
              <a:extLst>
                <a:ext uri="{FF2B5EF4-FFF2-40B4-BE49-F238E27FC236}">
                  <a16:creationId xmlns:a16="http://schemas.microsoft.com/office/drawing/2014/main" id="{A8362C51-1631-DB40-5E96-D054A583F309}"/>
                </a:ext>
              </a:extLst>
            </xdr:cNvPr>
            <xdr:cNvGraphicFramePr/>
          </xdr:nvGraphicFramePr>
          <xdr:xfrm>
            <a:off x="0" y="0"/>
            <a:ext cx="0" cy="0"/>
          </xdr:xfrm>
          <a:graphic>
            <a:graphicData uri="http://schemas.microsoft.com/office/drawing/2010/slicer">
              <sle:slicer xmlns:sle="http://schemas.microsoft.com/office/drawing/2010/slicer" name="Projet ou client"/>
            </a:graphicData>
          </a:graphic>
        </xdr:graphicFrame>
      </mc:Choice>
      <mc:Fallback xmlns="">
        <xdr:sp macro="" textlink="">
          <xdr:nvSpPr>
            <xdr:cNvPr id="0" name=""/>
            <xdr:cNvSpPr>
              <a:spLocks noTextEdit="1"/>
            </xdr:cNvSpPr>
          </xdr:nvSpPr>
          <xdr:spPr>
            <a:xfrm>
              <a:off x="7749559" y="50505"/>
              <a:ext cx="1837353" cy="1978320"/>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twoCellAnchor editAs="absolute">
    <xdr:from>
      <xdr:col>6</xdr:col>
      <xdr:colOff>110495</xdr:colOff>
      <xdr:row>0</xdr:row>
      <xdr:rowOff>40011</xdr:rowOff>
    </xdr:from>
    <xdr:to>
      <xdr:col>7</xdr:col>
      <xdr:colOff>217297</xdr:colOff>
      <xdr:row>8</xdr:row>
      <xdr:rowOff>162996</xdr:rowOff>
    </xdr:to>
    <mc:AlternateContent xmlns:mc="http://schemas.openxmlformats.org/markup-compatibility/2006" xmlns:sle15="http://schemas.microsoft.com/office/drawing/2012/slicer">
      <mc:Choice Requires="sle15">
        <xdr:graphicFrame macro="">
          <xdr:nvGraphicFramePr>
            <xdr:cNvPr id="3" name="Mois">
              <a:extLst>
                <a:ext uri="{FF2B5EF4-FFF2-40B4-BE49-F238E27FC236}">
                  <a16:creationId xmlns:a16="http://schemas.microsoft.com/office/drawing/2014/main" id="{9B2A801E-44E5-8A8F-EB94-D1ACC28F5CE3}"/>
                </a:ext>
              </a:extLst>
            </xdr:cNvPr>
            <xdr:cNvGraphicFramePr/>
          </xdr:nvGraphicFramePr>
          <xdr:xfrm>
            <a:off x="0" y="0"/>
            <a:ext cx="0" cy="0"/>
          </xdr:xfrm>
          <a:graphic>
            <a:graphicData uri="http://schemas.microsoft.com/office/drawing/2010/slicer">
              <sle:slicer xmlns:sle="http://schemas.microsoft.com/office/drawing/2010/slicer" name="Mois"/>
            </a:graphicData>
          </a:graphic>
        </xdr:graphicFrame>
      </mc:Choice>
      <mc:Fallback xmlns="">
        <xdr:sp macro="" textlink="">
          <xdr:nvSpPr>
            <xdr:cNvPr id="0" name=""/>
            <xdr:cNvSpPr>
              <a:spLocks noTextEdit="1"/>
            </xdr:cNvSpPr>
          </xdr:nvSpPr>
          <xdr:spPr>
            <a:xfrm>
              <a:off x="5692145" y="40011"/>
              <a:ext cx="1829768" cy="1571631"/>
            </a:xfrm>
            <a:prstGeom prst="rect">
              <a:avLst/>
            </a:prstGeom>
            <a:solidFill>
              <a:prstClr val="white"/>
            </a:solidFill>
            <a:ln w="1">
              <a:solidFill>
                <a:prstClr val="green"/>
              </a:solidFill>
            </a:ln>
          </xdr:spPr>
          <xdr:txBody>
            <a:bodyPr vertOverflow="clip" horzOverflow="clip"/>
            <a:lstStyle/>
            <a:p>
              <a:r>
                <a:rPr lang="fr-FR" sz="1100"/>
                <a:t>Cette forme représente un segment de table. Les segments de table ne sont pas pris en charge dans cette version d’Excel.
En revanche, si la forme a été modifiée dans une version antérieure d’Excel, ou si le classeur a été enregistré dans Excel 2007 ou une version antérieure,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5953.552522916667" createdVersion="8" refreshedVersion="8" minRefreshableVersion="3" recordCount="246" xr:uid="{4924AFD5-BFD6-4DB5-B33A-A7D091E90DD5}">
  <cacheSource type="worksheet">
    <worksheetSource name="Tableau1"/>
  </cacheSource>
  <cacheFields count="19">
    <cacheField name="Projet ou client" numFmtId="0">
      <sharedItems containsBlank="1" count="43">
        <s v="Création Entreprise"/>
        <s v="Préparation ECAM"/>
        <s v="Administratif"/>
        <s v="Gestion Patrimoine"/>
        <s v="Préparation ISEN Maths"/>
        <s v="Prospection"/>
        <s v="Création Site"/>
        <s v="LocatifPerso"/>
        <s v="Préparation ISEN Rhétorique"/>
        <s v="Préparation Cours/Échanges Parents"/>
        <s v="Planification/administratif ISEN"/>
        <s v="Léon"/>
        <s v="RDV Client"/>
        <s v="Organisation"/>
        <s v="Formation"/>
        <s v="Comptabilité"/>
        <s v="ECAM"/>
        <s v="JCE"/>
        <s v="ISEN"/>
        <s v="Communication"/>
        <s v="Camille"/>
        <s v="AMAP"/>
        <s v="Léane"/>
        <s v="Gratitude"/>
        <s v="Réseau"/>
        <s v="Impôts Perso"/>
        <s v="CorrectionDS"/>
        <s v="Valentine"/>
        <s v="EtudeClient"/>
        <s v="Préparation St Félix"/>
        <s v="St Félix"/>
        <m/>
        <s v="St Felix" u="1"/>
        <s v="Daher" u="1"/>
        <s v="Louis" u="1"/>
        <s v="Maxandre" u="1"/>
        <s v="Préparation Louis" u="1"/>
        <s v="Préparation Maxandre" u="1"/>
        <s v="Lili" u="1"/>
        <s v="Victoire" u="1"/>
        <s v="Préparation ISEN" u="1"/>
        <s v="LocatifMaman" u="1"/>
        <s v="Medisup" u="1"/>
      </sharedItems>
    </cacheField>
    <cacheField name="Date de début" numFmtId="14">
      <sharedItems containsNonDate="0" containsDate="1" containsString="0" containsBlank="1" minDate="2025-07-30T08:33:00" maxDate="2025-10-23T12:55:00"/>
    </cacheField>
    <cacheField name="Mois" numFmtId="169">
      <sharedItems containsSemiMixedTypes="0" containsNonDate="0" containsDate="1" containsString="0" minDate="1899-12-30T00:00:00" maxDate="2025-10-23T12:55:00" count="771">
        <d v="2025-07-30T08:33:00"/>
        <d v="2025-07-30T09:13:00"/>
        <d v="2025-07-30T10:07:00"/>
        <d v="2025-07-30T10:41:00"/>
        <d v="2025-07-30T11:12:00"/>
        <d v="2025-07-30T12:51:00"/>
        <d v="2025-07-30T14:01:00"/>
        <d v="2025-07-30T14:19:00"/>
        <d v="2025-07-30T16:12:00"/>
        <d v="2025-07-31T10:16:00"/>
        <d v="2025-07-31T10:21:00"/>
        <d v="2025-07-31T14:26:00"/>
        <d v="2025-07-31T15:43:00"/>
        <d v="2025-07-31T15:53:00"/>
        <d v="2025-07-31T16:07:00"/>
        <d v="2025-07-31T17:05:00"/>
        <d v="2025-08-01T09:09:00"/>
        <d v="2025-08-04T11:24:00"/>
        <d v="2025-08-04T13:27:00"/>
        <d v="2025-08-04T15:50:00"/>
        <d v="2025-08-04T16:54:00"/>
        <d v="2025-08-20T15:31:00"/>
        <d v="2025-08-21T11:05:00"/>
        <d v="2025-08-21T12:59:00"/>
        <d v="2025-08-21T13:40:00"/>
        <d v="2025-08-22T08:37:00"/>
        <d v="2025-08-22T09:50:00"/>
        <d v="2025-08-22T11:49:00"/>
        <d v="2025-08-22T14:35:00"/>
        <d v="2025-08-22T14:56:00"/>
        <d v="2025-08-22T15:02:00"/>
        <d v="2025-08-22T15:07:00"/>
        <d v="2025-08-25T08:12:00"/>
        <d v="2025-08-25T09:37:00"/>
        <d v="2025-08-25T12:59:00"/>
        <d v="2025-08-25T17:15:00"/>
        <d v="2025-08-26T08:43:00"/>
        <d v="2025-08-26T13:44:00"/>
        <d v="2025-08-26T13:59:00"/>
        <d v="2025-08-27T09:17:00"/>
        <d v="2025-08-27T10:29:00"/>
        <d v="2025-08-27T12:10:00"/>
        <d v="2025-08-27T13:50:00"/>
        <d v="2025-08-27T14:34:00"/>
        <d v="2025-08-28T09:25:00"/>
        <d v="2025-08-28T10:31:00"/>
        <d v="2025-08-28T11:00:00"/>
        <d v="2025-08-28T11:53:00"/>
        <d v="2025-08-28T12:05:00"/>
        <d v="2025-08-28T14:14:00"/>
        <d v="2025-08-28T14:24:00"/>
        <d v="2025-08-28T16:36:00"/>
        <d v="2025-08-28T17:03:00"/>
        <d v="2025-08-29T08:59:00"/>
        <d v="2025-08-29T11:40:00"/>
        <d v="2025-08-29T21:57:00"/>
        <d v="2025-09-01T11:07:00"/>
        <d v="2025-09-01T11:18:00"/>
        <d v="2025-09-02T08:07:00"/>
        <d v="2025-09-03T08:05:00"/>
        <d v="2025-09-04T08:15:00"/>
        <d v="2025-09-04T17:10:00"/>
        <d v="2025-09-04T18:31:00"/>
        <d v="2025-09-04T19:20:00"/>
        <d v="2025-09-05T07:59:00"/>
        <d v="2025-09-06T18:12:00"/>
        <d v="2025-09-08T08:29:00"/>
        <d v="2025-09-08T10:59:00"/>
        <d v="2025-09-08T14:07:00"/>
        <d v="2025-09-08T17:19:00"/>
        <d v="2025-09-08T19:07:00"/>
        <d v="2025-09-09T09:01:00"/>
        <d v="2025-09-09T10:43:00"/>
        <d v="2025-09-10T08:57:00"/>
        <d v="2025-09-10T14:51:00"/>
        <d v="2025-09-10T15:22:00"/>
        <d v="2025-09-10T17:21:00"/>
        <d v="2025-09-11T06:42:00"/>
        <d v="2025-09-11T07:39:00"/>
        <d v="2025-09-11T14:01:00"/>
        <d v="2025-09-11T14:30:00"/>
        <d v="2025-09-11T14:45:00"/>
        <d v="2025-09-11T14:56:00"/>
        <d v="2025-09-11T15:25:00"/>
        <d v="2025-09-11T15:48:00"/>
        <d v="2025-09-11T16:41:00"/>
        <d v="2025-09-12T06:42:00"/>
        <d v="2025-09-12T07:45:00"/>
        <d v="2025-09-12T14:36:00"/>
        <d v="2025-09-12T14:59:00"/>
        <d v="2025-09-12T15:44:00"/>
        <d v="2025-09-12T15:51:00"/>
        <d v="2025-09-12T16:02:00"/>
        <d v="2025-09-13T10:59:00"/>
        <d v="2025-09-15T08:42:00"/>
        <d v="2025-09-15T10:43:00"/>
        <d v="2025-09-15T13:13:00"/>
        <d v="2025-09-15T16:49:00"/>
        <d v="2025-09-16T08:07:00"/>
        <d v="2025-09-16T08:46:00"/>
        <d v="2025-09-16T11:23:00"/>
        <d v="2025-09-16T13:11:00"/>
        <d v="2025-09-16T18:40:00"/>
        <d v="2025-09-16T19:07:00"/>
        <d v="2025-09-17T06:42:00"/>
        <d v="2025-09-17T06:48:00"/>
        <d v="2025-09-17T07:46:00"/>
        <d v="2025-09-17T10:49:00"/>
        <d v="2025-09-17T13:31:00"/>
        <d v="2025-09-17T14:38:00"/>
        <d v="2025-09-17T16:25:00"/>
        <d v="2025-09-18T06:47:00"/>
        <d v="2025-09-18T07:46:00"/>
        <d v="2025-09-18T13:17:00"/>
        <d v="2025-09-19T07:58:00"/>
        <d v="2025-09-20T13:10:00"/>
        <d v="2025-09-21T08:35:00"/>
        <d v="2025-09-21T16:52:00"/>
        <d v="2025-09-21T17:50:00"/>
        <d v="2025-09-22T06:33:00"/>
        <d v="2025-09-22T09:04:00"/>
        <d v="2025-09-22T09:10:00"/>
        <d v="2025-09-22T09:56:00"/>
        <d v="2025-09-22T10:07:00"/>
        <d v="2025-09-22T12:24:00"/>
        <d v="2025-09-23T08:17:00"/>
        <d v="2025-09-24T06:39:00"/>
        <d v="2025-09-24T07:45:00"/>
        <d v="2025-09-24T14:51:00"/>
        <d v="2025-09-24T15:32:00"/>
        <d v="2025-09-24T16:31:00"/>
        <d v="2025-09-25T06:46:00"/>
        <d v="2025-09-25T07:44:00"/>
        <d v="2025-09-25T15:05:00"/>
        <d v="2025-09-25T16:31:00"/>
        <d v="2025-09-25T18:07:00"/>
        <d v="2025-09-26T07:48:00"/>
        <d v="2025-09-26T13:02:00"/>
        <d v="2025-09-26T14:10:00"/>
        <d v="2025-09-26T14:49:00"/>
        <d v="2025-10-01T07:51:00"/>
        <d v="2025-10-01T10:59:00"/>
        <d v="2025-10-01T11:42:00"/>
        <d v="2025-10-01T13:21:00"/>
        <d v="2025-10-01T14:34:00"/>
        <d v="2025-10-01T14:54:00"/>
        <d v="2025-10-01T15:01:00"/>
        <d v="2025-10-01T15:24:00"/>
        <d v="2025-10-01T15:29:00"/>
        <d v="2025-10-01T16:14:00"/>
        <d v="2025-10-02T06:11:00"/>
        <d v="2025-10-02T07:53:00"/>
        <d v="2025-10-02T13:33:00"/>
        <d v="2025-10-02T16:32:00"/>
        <d v="2025-10-02T18:00:00"/>
        <d v="2025-10-03T07:51:00"/>
        <d v="2025-10-03T08:05:00"/>
        <d v="2025-10-03T08:17:00"/>
        <d v="2025-10-03T08:28:00"/>
        <d v="2025-10-03T08:41:00"/>
        <d v="2025-10-03T10:19:00"/>
        <d v="2025-10-03T12:23:00"/>
        <d v="2025-10-04T17:39:00"/>
        <d v="2025-10-04T18:41:00"/>
        <d v="2025-10-05T07:05:00"/>
        <d v="2025-10-05T08:51:00"/>
        <d v="2025-10-06T08:16:00"/>
        <d v="2025-10-06T08:21:00"/>
        <d v="2025-10-06T09:06:00"/>
        <d v="2025-10-06T11:01:00"/>
        <d v="2025-10-06T11:07:00"/>
        <d v="2025-10-06T11:22:00"/>
        <d v="2025-10-06T11:27:00"/>
        <d v="2025-10-06T13:57:00"/>
        <d v="2025-10-06T14:19:00"/>
        <d v="2025-10-06T14:31:00"/>
        <d v="2025-10-06T14:52:00"/>
        <d v="2025-10-06T17:38:00"/>
        <d v="2025-10-07T08:37:00"/>
        <d v="2025-10-07T10:08:00"/>
        <d v="2025-10-07T17:13:00"/>
        <d v="2025-10-08T07:51:00"/>
        <d v="2025-10-08T10:35:00"/>
        <d v="2025-10-08T15:00:00"/>
        <d v="2025-10-08T15:38:00"/>
        <d v="2025-10-08T16:15:00"/>
        <d v="2025-10-08T19:56:00"/>
        <d v="2025-10-09T06:51:00"/>
        <d v="2025-10-09T07:57:00"/>
        <d v="2025-10-09T14:17:00"/>
        <d v="2025-10-09T15:04:00"/>
        <d v="2025-10-09T15:14:00"/>
        <d v="2025-10-09T16:27:00"/>
        <d v="2025-10-09T17:36:00"/>
        <d v="2025-10-10T06:52:00"/>
        <d v="2025-10-10T07:56:00"/>
        <d v="2025-10-10T13:50:00"/>
        <d v="2025-10-10T14:22:00"/>
        <d v="2025-10-10T15:29:00"/>
        <d v="2025-10-10T16:26:00"/>
        <d v="2025-10-12T09:03:00"/>
        <d v="2025-10-13T08:06:00"/>
        <d v="2025-10-13T11:01:00"/>
        <d v="2025-10-13T14:04:00"/>
        <d v="2025-10-13T15:15:00"/>
        <d v="2025-10-13T15:21:00"/>
        <d v="2025-10-13T15:28:00"/>
        <d v="2025-10-13T19:18:00"/>
        <d v="2025-10-14T08:03:00"/>
        <d v="2025-10-14T10:02:00"/>
        <d v="2025-10-14T17:19:00"/>
        <d v="2025-10-14T17:50:00"/>
        <d v="2025-10-14T18:34:00"/>
        <d v="2025-10-15T08:00:00"/>
        <d v="2025-10-15T11:14:00"/>
        <d v="2025-10-15T13:09:00"/>
        <d v="2025-10-15T16:17:00"/>
        <d v="2025-10-16T06:12:00"/>
        <d v="2025-10-16T06:56:00"/>
        <d v="2025-10-16T08:12:00"/>
        <d v="2025-10-16T14:32:00"/>
        <d v="2025-10-16T16:25:00"/>
        <d v="2025-10-16T18:53:00"/>
        <d v="2025-10-17T06:08:00"/>
        <d v="2025-10-17T07:56:00"/>
        <d v="2025-10-17T12:12:00"/>
        <d v="2025-10-17T13:50:00"/>
        <d v="2025-10-17T14:34:00"/>
        <d v="2025-10-17T17:16:00"/>
        <d v="2025-10-18T10:37:00"/>
        <d v="2025-10-18T15:44:00"/>
        <d v="2025-10-19T06:09:00"/>
        <d v="2025-10-19T11:04:00"/>
        <d v="2025-10-19T18:10:00"/>
        <d v="2025-10-19T20:21:00"/>
        <d v="2025-10-20T08:10:00"/>
        <d v="2025-10-21T07:59:00"/>
        <d v="2025-10-22T08:00:00"/>
        <d v="2025-10-22T15:28:00"/>
        <d v="2025-10-22T16:15:00"/>
        <d v="2025-10-23T12:55:00"/>
        <d v="1899-12-30T00:00:00"/>
        <d v="2024-08-19T08:00:00" u="1"/>
        <d v="2024-08-20T07:50:00" u="1"/>
        <d v="2024-08-21T07:50:00" u="1"/>
        <d v="2024-08-22T08:33:00" u="1"/>
        <d v="2024-08-23T10:24:00" u="1"/>
        <d v="2024-08-27T08:15:00" u="1"/>
        <d v="2024-08-28T08:26:00" u="1"/>
        <d v="2024-08-29T08:00:00" u="1"/>
        <d v="2024-10-21T09:03:00" u="1"/>
        <d v="2024-10-22T07:51:00" u="1"/>
        <d v="2024-10-23T07:53:00" u="1"/>
        <d v="2024-10-24T07:51:00" u="1"/>
        <d v="2024-10-25T07:52:00" u="1"/>
        <d v="2024-10-28T07:55:00" u="1"/>
        <d v="2024-10-29T07:58:00" u="1"/>
        <d v="2024-10-30T08:09:00" u="1"/>
        <d v="2024-10-31T07:58:00" u="1"/>
        <d v="2024-11-04T07:57:00" u="1"/>
        <d v="2024-11-05T07:30:00" u="1"/>
        <d v="2024-11-06T07:51:00" u="1"/>
        <d v="2024-11-07T07:38:00" u="1"/>
        <d v="2024-11-08T07:43:00" u="1"/>
        <d v="2024-11-12T07:33:00" u="1"/>
        <d v="2024-11-13T07:49:00" u="1"/>
        <d v="2024-11-14T07:56:00" u="1"/>
        <d v="2024-11-15T07:41:00" u="1"/>
        <d v="2024-11-18T08:32:00" u="1"/>
        <d v="2024-11-19T07:06:00" u="1"/>
        <d v="2024-11-20T07:55:00" u="1"/>
        <d v="2024-11-21T07:51:00" u="1"/>
        <d v="2024-11-22T07:23:00" u="1"/>
        <d v="2024-11-25T06:27:00" u="1"/>
        <d v="2024-11-26T06:55:00" u="1"/>
        <d v="2024-11-27T07:16:00" u="1"/>
        <d v="2024-11-28T07:15:00" u="1"/>
        <d v="2024-11-28T07:43:00" u="1"/>
        <d v="2024-11-29T07:51:00" u="1"/>
        <d v="2024-12-02T08:00:00" u="1"/>
        <d v="2024-12-03T16:30:00" u="1"/>
        <d v="2024-12-04T09:52:00" u="1"/>
        <d v="2024-12-04T14:00:00" u="1"/>
        <d v="2024-12-05T14:53:00" u="1"/>
        <d v="2024-12-09T15:01:00" u="1"/>
        <d v="2024-12-10T09:20:00" u="1"/>
        <d v="2024-12-10T15:39:00" u="1"/>
        <d v="2024-12-10T16:30:00" u="1"/>
        <d v="2024-12-11T08:57:00" u="1"/>
        <d v="2024-12-11T14:29:00" u="1"/>
        <d v="2024-12-11T16:36:00" u="1"/>
        <d v="2024-12-12T14:41:00" u="1"/>
        <d v="2024-12-13T09:32:00" u="1"/>
        <d v="2024-12-13T14:05:00" u="1"/>
        <d v="2024-12-13T14:29:00" u="1"/>
        <d v="2024-12-13T15:02:00" u="1"/>
        <d v="2024-12-16T11:26:00" u="1"/>
        <d v="2024-12-16T13:55:00" u="1"/>
        <d v="2024-12-16T16:01:00" u="1"/>
        <d v="2024-12-17T16:46:00" u="1"/>
        <d v="2024-12-18T09:05:00" u="1"/>
        <d v="2024-12-18T13:15:00" u="1"/>
        <d v="2024-12-18T14:27:00" u="1"/>
        <d v="2024-12-20T08:50:00" u="1"/>
        <d v="2024-12-20T15:35:00" u="1"/>
        <d v="2024-12-20T16:53:00" u="1"/>
        <d v="2024-12-22T19:49:00" u="1"/>
        <d v="2024-12-22T20:59:00" u="1"/>
        <d v="2024-12-23T14:43:00" u="1"/>
        <d v="2024-12-27T10:51:00" u="1"/>
        <d v="2024-12-28T17:46:00" u="1"/>
        <d v="2024-12-30T16:33:00" u="1"/>
        <d v="2025-01-03T09:00:00" u="1"/>
        <d v="2025-01-03T16:04:00" u="1"/>
        <d v="2025-01-06T08:44:00" u="1"/>
        <d v="2025-01-06T13:41:00" u="1"/>
        <d v="2025-01-06T17:48:00" u="1"/>
        <d v="2025-01-07T08:30:00" u="1"/>
        <d v="2025-01-07T14:13:00" u="1"/>
        <d v="2025-01-07T16:58:00" u="1"/>
        <d v="2025-01-08T10:33:00" u="1"/>
        <d v="2025-01-08T13:26:00" u="1"/>
        <d v="2025-01-08T14:36:00" u="1"/>
        <d v="2025-01-08T18:00:00" u="1"/>
        <d v="2025-01-09T08:59:00" u="1"/>
        <d v="2025-01-09T12:54:00" u="1"/>
        <d v="2025-01-10T08:59:00" u="1"/>
        <d v="2025-01-10T17:04:00" u="1"/>
        <d v="2025-01-13T10:00:00" u="1"/>
        <d v="2025-01-13T14:11:00" u="1"/>
        <d v="2025-01-13T16:02:00" u="1"/>
        <d v="2025-01-13T16:17:00" u="1"/>
        <d v="2025-01-14T09:15:00" u="1"/>
        <d v="2025-01-14T09:35:00" u="1"/>
        <d v="2025-01-14T09:46:00" u="1"/>
        <d v="2025-01-14T11:00:00" u="1"/>
        <d v="2025-01-15T07:48:00" u="1"/>
        <d v="2025-01-15T10:01:00" u="1"/>
        <d v="2025-01-15T14:40:00" u="1"/>
        <d v="2025-01-15T16:41:00" u="1"/>
        <d v="2025-01-16T09:47:00" u="1"/>
        <d v="2025-01-16T13:41:00" u="1"/>
        <d v="2025-01-16T17:42:00" u="1"/>
        <d v="2025-01-17T08:59:00" u="1"/>
        <d v="2025-01-17T15:44:00" u="1"/>
        <d v="2025-01-20T08:40:00" u="1"/>
        <d v="2025-01-20T09:20:00" u="1"/>
        <d v="2025-01-20T10:00:00" u="1"/>
        <d v="2025-01-20T15:05:00" u="1"/>
        <d v="2025-01-21T07:50:00" u="1"/>
        <d v="2025-01-21T09:15:00" u="1"/>
        <d v="2025-01-21T14:46:00" u="1"/>
        <d v="2025-01-21T16:41:00" u="1"/>
        <d v="2025-01-22T08:18:00" u="1"/>
        <d v="2025-01-22T10:00:00" u="1"/>
        <d v="2025-01-22T13:25:00" u="1"/>
        <d v="2025-01-22T14:30:00" u="1"/>
        <d v="2025-01-22T16:45:00" u="1"/>
        <d v="2025-01-22T20:51:00" u="1"/>
        <d v="2025-01-23T09:15:00" u="1"/>
        <d v="2025-01-23T09:31:00" u="1"/>
        <d v="2025-01-23T09:36:00" u="1"/>
        <d v="2025-01-23T10:45:00" u="1"/>
        <d v="2025-01-23T13:10:00" u="1"/>
        <d v="2025-01-24T08:10:00" u="1"/>
        <d v="2025-01-24T08:52:00" u="1"/>
        <d v="2025-01-24T09:06:00" u="1"/>
        <d v="2025-01-24T09:16:00" u="1"/>
        <d v="2025-01-24T09:17:00" u="1"/>
        <d v="2025-01-24T14:00:00" u="1"/>
        <d v="2025-01-25T08:54:00" u="1"/>
        <d v="2025-01-27T08:35:00" u="1"/>
        <d v="2025-01-27T11:26:00" u="1"/>
        <d v="2025-01-27T13:33:00" u="1"/>
        <d v="2025-01-27T13:59:00" u="1"/>
        <d v="2025-01-27T14:27:00" u="1"/>
        <d v="2025-01-27T16:07:00" u="1"/>
        <d v="2025-01-28T08:00:00" u="1"/>
        <d v="2025-01-28T09:02:00" u="1"/>
        <d v="2025-01-28T09:14:00" u="1"/>
        <d v="2025-01-28T10:22:00" u="1"/>
        <d v="2025-01-28T11:06:00" u="1"/>
        <d v="2025-01-28T11:45:00" u="1"/>
        <d v="2025-01-28T14:38:00" u="1"/>
        <d v="2025-01-28T16:45:00" u="1"/>
        <d v="2025-01-28T16:51:00" u="1"/>
        <d v="2025-01-29T09:40:00" u="1"/>
        <d v="2025-01-29T10:53:00" u="1"/>
        <d v="2025-01-29T13:15:00" u="1"/>
        <d v="2025-01-29T14:37:00" u="1"/>
        <d v="2025-01-29T16:47:00" u="1"/>
        <d v="2025-01-30T09:08:00" u="1"/>
        <d v="2025-01-30T14:07:00" u="1"/>
        <d v="2025-01-30T15:19:00" u="1"/>
        <d v="2025-01-31T09:47:00" u="1"/>
        <d v="2025-01-31T10:29:00" u="1"/>
        <d v="2025-01-31T11:00:00" u="1"/>
        <d v="2025-01-31T11:45:00" u="1"/>
        <d v="2025-02-03T09:37:00" u="1"/>
        <d v="2025-02-03T11:23:00" u="1"/>
        <d v="2025-02-03T13:47:00" u="1"/>
        <d v="2025-02-03T14:19:00" u="1"/>
        <d v="2025-02-03T15:08:00" u="1"/>
        <d v="2025-02-03T16:22:00" u="1"/>
        <d v="2025-02-03T17:30:00" u="1"/>
        <d v="2025-02-05T10:20:00" u="1"/>
        <d v="2025-02-05T16:02:00" u="1"/>
        <d v="2025-02-06T10:25:00" u="1"/>
        <d v="2025-02-06T16:17:00" u="1"/>
        <d v="2025-02-07T09:02:00" u="1"/>
        <d v="2025-02-07T11:22:00" u="1"/>
        <d v="2025-02-07T18:45:00" u="1"/>
        <d v="2025-02-10T14:23:00" u="1"/>
        <d v="2025-02-10T19:00:00" u="1"/>
        <d v="2025-02-11T08:36:00" u="1"/>
        <d v="2025-02-11T09:34:00" u="1"/>
        <d v="2025-02-11T13:20:00" u="1"/>
        <d v="2025-02-11T14:25:00" u="1"/>
        <d v="2025-02-11T15:34:00" u="1"/>
        <d v="2025-02-11T16:09:00" u="1"/>
        <d v="2025-02-11T16:18:00" u="1"/>
        <d v="2025-02-11T16:35:00" u="1"/>
        <d v="2025-02-12T09:56:00" u="1"/>
        <d v="2025-02-12T11:54:00" u="1"/>
        <d v="2025-02-12T13:12:00" u="1"/>
        <d v="2025-02-12T14:30:00" u="1"/>
        <d v="2025-02-12T16:26:00" u="1"/>
        <d v="2025-02-13T09:16:00" u="1"/>
        <d v="2025-02-13T13:43:00" u="1"/>
        <d v="2025-02-13T16:30:00" u="1"/>
        <d v="2025-02-14T09:15:00" u="1"/>
        <d v="2025-02-14T12:00:00" u="1"/>
        <d v="2025-02-14T13:52:00" u="1"/>
        <d v="2025-02-14T14:50:00" u="1"/>
        <d v="2025-02-14T16:47:00" u="1"/>
        <d v="2025-02-17T09:38:00" u="1"/>
        <d v="2025-02-17T13:30:00" u="1"/>
        <d v="2025-02-17T15:07:00" u="1"/>
        <d v="2025-02-18T08:49:00" u="1"/>
        <d v="2025-02-18T10:45:00" u="1"/>
        <d v="2025-02-19T13:10:00" u="1"/>
        <d v="2025-02-19T15:17:00" u="1"/>
        <d v="2025-02-20T09:18:00" u="1"/>
        <d v="2025-02-20T11:09:00" u="1"/>
        <d v="2025-02-20T11:48:00" u="1"/>
        <d v="2025-02-20T13:02:00" u="1"/>
        <d v="2025-02-20T13:52:00" u="1"/>
        <d v="2025-02-20T16:00:00" u="1"/>
        <d v="2025-02-21T09:00:00" u="1"/>
        <d v="2025-02-24T09:17:00" u="1"/>
        <d v="2025-02-24T10:34:00" u="1"/>
        <d v="2025-02-24T14:17:00" u="1"/>
        <d v="2025-02-25T08:28:00" u="1"/>
        <d v="2025-02-25T10:21:00" u="1"/>
        <d v="2025-02-25T13:23:00" u="1"/>
        <d v="2025-02-25T14:42:00" u="1"/>
        <d v="2025-02-25T16:34:00" u="1"/>
        <d v="2025-02-26T09:09:00" u="1"/>
        <d v="2025-02-26T10:25:00" u="1"/>
        <d v="2025-02-26T14:34:00" u="1"/>
        <d v="2025-02-26T16:31:00" u="1"/>
        <d v="2025-02-28T09:11:00" u="1"/>
        <d v="2025-02-28T10:31:00" u="1"/>
        <d v="2025-02-28T12:13:00" u="1"/>
        <d v="2025-03-03T09:06:00" u="1"/>
        <d v="2025-03-03T13:37:00" u="1"/>
        <d v="2025-03-03T14:20:00" u="1"/>
        <d v="2025-03-03T16:45:00" u="1"/>
        <d v="2025-03-04T08:33:00" u="1"/>
        <d v="2025-03-04T13:35:00" u="1"/>
        <d v="2025-03-05T09:42:00" u="1"/>
        <d v="2025-03-05T10:40:00" u="1"/>
        <d v="2025-03-05T11:50:00" u="1"/>
        <d v="2025-03-05T14:37:00" u="1"/>
        <d v="2025-03-05T16:51:00" u="1"/>
        <d v="2025-03-06T13:50:00" u="1"/>
        <d v="2025-03-07T09:08:00" u="1"/>
        <d v="2025-03-08T11:45:00" u="1"/>
        <d v="2025-03-08T14:02:00" u="1"/>
        <d v="2025-03-10T09:32:00" u="1"/>
        <d v="2025-03-10T09:48:00" u="1"/>
        <d v="2025-03-10T10:57:00" u="1"/>
        <d v="2025-03-10T12:31:00" u="1"/>
        <d v="2025-03-10T13:15:00" u="1"/>
        <d v="2025-03-10T18:08:00" u="1"/>
        <d v="2025-03-10T20:27:00" u="1"/>
        <d v="2025-03-11T09:16:00" u="1"/>
        <d v="2025-03-11T13:06:00" u="1"/>
        <d v="2025-03-11T13:45:00" u="1"/>
        <d v="2025-03-12T09:58:00" u="1"/>
        <d v="2025-03-12T13:37:00" u="1"/>
        <d v="2025-03-12T14:34:00" u="1"/>
        <d v="2025-03-12T16:40:00" u="1"/>
        <d v="2025-03-13T09:26:00" u="1"/>
        <d v="2025-03-13T13:44:00" u="1"/>
        <d v="2025-03-13T15:30:00" u="1"/>
        <d v="2025-03-14T08:23:00" u="1"/>
        <d v="2025-03-14T08:35:00" u="1"/>
        <d v="2025-03-14T12:38:00" u="1"/>
        <d v="2025-03-14T14:20:00" u="1"/>
        <d v="2025-03-17T09:03:00" u="1"/>
        <d v="2025-03-17T10:23:00" u="1"/>
        <d v="2025-03-17T13:22:00" u="1"/>
        <d v="2025-03-17T16:49:00" u="1"/>
        <d v="2025-03-18T08:25:00" u="1"/>
        <d v="2025-03-18T09:41:00" u="1"/>
        <d v="2025-03-18T13:54:00" u="1"/>
        <d v="2025-03-18T15:35:00" u="1"/>
        <d v="2025-03-19T10:06:00" u="1"/>
        <d v="2025-03-19T14:26:00" u="1"/>
        <d v="2025-03-19T16:42:00" u="1"/>
        <d v="2025-03-20T09:47:00" u="1"/>
        <d v="2025-03-20T10:32:00" u="1"/>
        <d v="2025-03-20T10:46:00" u="1"/>
        <d v="2025-03-20T13:04:00" u="1"/>
        <d v="2025-03-20T13:36:00" u="1"/>
        <d v="2025-03-20T13:48:00" u="1"/>
        <d v="2025-03-20T16:31:00" u="1"/>
        <d v="2025-03-21T08:42:00" u="1"/>
        <d v="2025-03-21T09:05:00" u="1"/>
        <d v="2025-03-21T14:58:00" u="1"/>
        <d v="2025-03-24T08:30:00" u="1"/>
        <d v="2025-03-24T10:30:00" u="1"/>
        <d v="2025-03-24T13:44:00" u="1"/>
        <d v="2025-03-24T13:53:00" u="1"/>
        <d v="2025-03-24T14:05:00" u="1"/>
        <d v="2025-03-25T08:53:00" u="1"/>
        <d v="2025-03-25T09:50:00" u="1"/>
        <d v="2025-03-25T13:21:00" u="1"/>
        <d v="2025-03-25T15:04:00" u="1"/>
        <d v="2025-03-26T10:14:00" u="1"/>
        <d v="2025-03-26T10:45:00" u="1"/>
        <d v="2025-03-26T11:01:00" u="1"/>
        <d v="2025-03-26T13:21:00" u="1"/>
        <d v="2025-03-26T14:35:00" u="1"/>
        <d v="2025-03-26T16:37:00" u="1"/>
        <d v="2025-03-26T18:57:00" u="1"/>
        <d v="2025-03-27T09:43:00" u="1"/>
        <d v="2025-03-27T13:36:00" u="1"/>
        <d v="2025-03-27T14:31:00" u="1"/>
        <d v="2025-03-27T15:24:00" u="1"/>
        <d v="2025-03-28T08:50:00" u="1"/>
        <d v="2025-04-01T08:34:00" u="1"/>
        <d v="2025-04-01T11:34:00" u="1"/>
        <d v="2025-04-01T12:04:00" u="1"/>
        <d v="2025-04-01T15:17:00" u="1"/>
        <d v="2025-04-02T09:20:00" u="1"/>
        <d v="2025-04-02T10:27:00" u="1"/>
        <d v="2025-04-02T10:31:00" u="1"/>
        <d v="2025-04-02T12:56:00" u="1"/>
        <d v="2025-04-02T13:34:00" u="1"/>
        <d v="2025-04-02T14:32:00" u="1"/>
        <d v="2025-04-02T16:37:00" u="1"/>
        <d v="2025-04-03T09:20:00" u="1"/>
        <d v="2025-04-03T09:29:00" u="1"/>
        <d v="2025-04-03T10:03:00" u="1"/>
        <d v="2025-04-03T11:39:00" u="1"/>
        <d v="2025-04-03T13:20:00" u="1"/>
        <d v="2025-04-03T14:14:00" u="1"/>
        <d v="2025-04-03T15:26:00" u="1"/>
        <d v="2025-04-04T08:56:00" u="1"/>
        <d v="2025-04-04T14:31:00" u="1"/>
        <d v="2025-04-04T15:32:00" u="1"/>
        <d v="2025-04-04T15:49:00" u="1"/>
        <d v="2025-04-06T16:18:00" u="1"/>
        <d v="2025-04-07T08:20:00" u="1"/>
        <d v="2025-04-07T10:03:00" u="1"/>
        <d v="2025-04-07T12:44:00" u="1"/>
        <d v="2025-04-07T13:44:00" u="1"/>
        <d v="2025-04-07T14:24:00" u="1"/>
        <d v="2025-04-07T14:29:00" u="1"/>
        <d v="2025-04-07T15:41:00" u="1"/>
        <d v="2025-04-07T16:01:00" u="1"/>
        <d v="2025-04-07T18:58:00" u="1"/>
        <d v="2025-04-08T08:53:00" u="1"/>
        <d v="2025-04-08T09:04:00" u="1"/>
        <d v="2025-04-08T09:25:00" u="1"/>
        <d v="2025-04-08T09:59:00" u="1"/>
        <d v="2025-04-08T15:57:00" u="1"/>
        <d v="2025-04-08T16:32:00" u="1"/>
        <d v="2025-04-08T16:35:00" u="1"/>
        <d v="2025-04-09T09:17:00" u="1"/>
        <d v="2025-04-09T10:04:00" u="1"/>
        <d v="2025-04-09T12:36:00" u="1"/>
        <d v="2025-04-09T15:55:00" u="1"/>
        <d v="2025-04-09T16:36:00" u="1"/>
        <d v="2025-04-10T08:31:00" u="1"/>
        <d v="2025-04-10T10:02:00" u="1"/>
        <d v="2025-04-10T14:01:00" u="1"/>
        <d v="2025-04-10T14:11:00" u="1"/>
        <d v="2025-04-10T15:23:00" u="1"/>
        <d v="2025-04-11T08:54:00" u="1"/>
        <d v="2025-04-11T14:09:00" u="1"/>
        <d v="2025-04-11T15:12:00" u="1"/>
        <d v="2025-04-11T15:32:00" u="1"/>
        <d v="2025-04-14T10:00:00" u="1"/>
        <d v="2025-04-14T11:21:00" u="1"/>
        <d v="2025-04-15T08:33:00" u="1"/>
        <d v="2025-04-16T16:08:00" u="1"/>
        <d v="2025-04-17T08:24:00" u="1"/>
        <d v="2025-04-17T10:04:00" u="1"/>
        <d v="2025-04-17T13:12:00" u="1"/>
        <d v="2025-04-17T13:44:00" u="1"/>
        <d v="2025-04-17T14:05:00" u="1"/>
        <d v="2025-04-17T18:24:00" u="1"/>
        <d v="2025-04-18T08:19:00" u="1"/>
        <d v="2025-04-18T09:10:00" u="1"/>
        <d v="2025-04-18T13:14:00" u="1"/>
        <d v="2025-04-18T14:22:00" u="1"/>
        <d v="2025-04-18T16:02:00" u="1"/>
        <d v="2025-04-18T16:54:00" u="1"/>
        <d v="2025-04-18T17:19:00" u="1"/>
        <d v="2025-04-22T09:13:00" u="1"/>
        <d v="2025-04-23T08:40:00" u="1"/>
        <d v="2025-04-24T09:24:00" u="1"/>
        <d v="2025-04-24T11:49:00" u="1"/>
        <d v="2025-04-24T15:16:00" u="1"/>
        <d v="2025-04-24T15:30:00" u="1"/>
        <d v="2025-04-24T16:03:00" u="1"/>
        <d v="2025-04-24T17:31:00" u="1"/>
        <d v="2025-04-25T00:00:00" u="1"/>
        <d v="2025-04-25T09:15:00" u="1"/>
        <d v="2025-04-25T10:11:00" u="1"/>
        <d v="2025-04-25T13:04:00" u="1"/>
        <d v="2025-04-25T15:00:00" u="1"/>
        <d v="2025-04-28T08:56:00" u="1"/>
        <d v="2025-04-28T10:03:00" u="1"/>
        <d v="2025-04-28T16:33:00" u="1"/>
        <d v="2025-04-29T08:32:00" u="1"/>
        <d v="2025-04-29T17:56:00" u="1"/>
        <d v="2025-04-30T06:20:00" u="1"/>
        <d v="2025-04-30T08:46:00" u="1"/>
        <d v="2025-05-01T10:48:00" u="1"/>
        <d v="2025-05-01T11:24:00" u="1"/>
        <d v="2025-05-01T11:46:00" u="1"/>
        <d v="2025-05-10T18:20:00" u="1"/>
        <d v="2025-05-11T10:52:00" u="1"/>
        <d v="2025-05-12T08:45:00" u="1"/>
        <d v="2025-05-12T09:49:00" u="1"/>
        <d v="2025-05-12T11:03:00" u="1"/>
        <d v="2025-05-12T15:17:00" u="1"/>
        <d v="2025-05-12T15:24:00" u="1"/>
        <d v="2025-05-12T16:04:00" u="1"/>
        <d v="2025-05-13T09:04:00" u="1"/>
        <d v="2025-05-13T09:26:00" u="1"/>
        <d v="2025-05-13T09:42:00" u="1"/>
        <d v="2025-05-13T10:07:00" u="1"/>
        <d v="2025-05-13T13:15:00" u="1"/>
        <d v="2025-05-13T13:32:00" u="1"/>
        <d v="2025-05-13T14:02:00" u="1"/>
        <d v="2025-05-13T17:27:00" u="1"/>
        <d v="2025-05-13T20:37:00" u="1"/>
        <d v="2025-05-14T09:36:00" u="1"/>
        <d v="2025-05-14T10:22:00" u="1"/>
        <d v="2025-05-14T12:03:00" u="1"/>
        <d v="2025-05-14T13:54:00" u="1"/>
        <d v="2025-05-14T14:41:00" u="1"/>
        <d v="2025-05-14T17:40:00" u="1"/>
        <d v="2025-05-15T08:29:00" u="1"/>
        <d v="2025-05-15T09:29:00" u="1"/>
        <d v="2025-05-15T12:55:00" u="1"/>
        <d v="2025-05-15T13:34:00" u="1"/>
        <d v="2025-05-15T14:02:00" u="1"/>
        <d v="2025-05-15T16:15:00" u="1"/>
        <d v="2025-05-16T08:23:00" u="1"/>
        <d v="2025-05-16T08:34:00" u="1"/>
        <d v="2025-05-16T08:44:00" u="1"/>
        <d v="2025-05-16T09:01:00" u="1"/>
        <d v="2025-05-16T13:49:00" u="1"/>
        <d v="2025-05-16T14:07:00" u="1"/>
        <d v="2025-05-16T16:24:00" u="1"/>
        <d v="2025-05-16T16:39:00" u="1"/>
        <d v="2025-05-16T17:34:00" u="1"/>
        <d v="2025-05-19T08:38:00" u="1"/>
        <d v="2025-05-19T14:41:00" u="1"/>
        <d v="2025-05-19T14:48:00" u="1"/>
        <d v="2025-05-19T16:32:00" u="1"/>
        <d v="2025-05-20T08:46:00" u="1"/>
        <d v="2025-05-20T10:20:00" u="1"/>
        <d v="2025-05-20T11:49:00" u="1"/>
        <d v="2025-05-20T13:19:00" u="1"/>
        <d v="2025-05-20T16:15:00" u="1"/>
        <d v="2025-05-21T09:17:00" u="1"/>
        <d v="2025-05-21T09:37:00" u="1"/>
        <d v="2025-05-21T09:57:00" u="1"/>
        <d v="2025-05-21T11:14:00" u="1"/>
        <d v="2025-05-21T13:24:00" u="1"/>
        <d v="2025-05-21T15:10:00" u="1"/>
        <d v="2025-05-21T16:40:00" u="1"/>
        <d v="2025-05-22T08:27:00" u="1"/>
        <d v="2025-05-22T13:47:00" u="1"/>
        <d v="2025-05-23T08:57:00" u="1"/>
        <d v="2025-05-24T10:30:00" u="1"/>
        <d v="2025-05-26T08:49:00" u="1"/>
        <d v="2025-05-26T09:37:00" u="1"/>
        <d v="2025-05-26T09:46:00" u="1"/>
        <d v="2025-05-26T14:24:00" u="1"/>
        <d v="2025-05-26T16:37:00" u="1"/>
        <d v="2025-05-28T00:00:00" u="1"/>
        <d v="2025-05-30T00:00:00" u="1"/>
        <d v="2025-06-26T14:38:00" u="1"/>
        <d v="2025-06-26T14:16:00" u="1"/>
        <d v="2025-06-26T13:10:00" u="1"/>
        <d v="2025-06-26T11:15:00" u="1"/>
        <d v="2025-06-26T09:09:00" u="1"/>
        <d v="2025-06-25T15:20:00" u="1"/>
        <d v="2025-06-25T12:17:00" u="1"/>
        <d v="2025-06-25T08:31:00" u="1"/>
        <d v="2025-06-24T14:00:00" u="1"/>
        <d v="2025-06-24T09:12:00" u="1"/>
        <d v="2025-06-24T08:47:00" u="1"/>
        <d v="2025-06-23T16:33:00" u="1"/>
        <d v="2025-06-23T14:00:00" u="1"/>
        <d v="2025-06-23T10:29:00" u="1"/>
        <d v="2025-06-23T10:00:00" u="1"/>
        <d v="2025-06-23T09:40:00" u="1"/>
        <d v="2025-06-23T09:20:00" u="1"/>
        <d v="2025-06-20T16:54:00" u="1"/>
        <d v="2025-06-20T08:00:00" u="1"/>
        <d v="2025-06-19T15:30:00" u="1"/>
        <d v="2025-06-19T08:00:00" u="1"/>
        <d v="2025-06-18T16:51:00" u="1"/>
        <d v="2025-06-18T09:00:00" u="1"/>
        <d v="2025-06-17T09:00:00" u="1"/>
        <d v="2025-06-16T16:34:00" u="1"/>
        <d v="2025-06-16T09:00:00" u="1"/>
        <d v="2025-06-16T06:15:00" u="1"/>
        <d v="2025-06-16T05:52:00" u="1"/>
        <d v="2025-06-15T15:48:00" u="1"/>
        <d v="2025-06-15T10:24:00" u="1"/>
        <d v="2025-06-14T12:15:00" u="1"/>
        <d v="2025-06-14T12:03:00" u="1"/>
        <d v="2025-06-14T11:47:00" u="1"/>
        <d v="2025-06-13T08:00:00" u="1"/>
        <d v="2025-06-12T16:34:00" u="1"/>
        <d v="2025-06-12T09:00:00" u="1"/>
        <d v="2025-06-11T16:37:00" u="1"/>
        <d v="2025-06-11T14:30:00" u="1"/>
        <d v="2025-06-11T13:15:00" u="1"/>
        <d v="2025-06-11T11:14:00" u="1"/>
        <d v="2025-06-11T06:28:00" u="1"/>
        <d v="2025-06-10T20:02:00" u="1"/>
        <d v="2025-06-10T17:21:00" u="1"/>
        <d v="2025-06-10T15:00:00" u="1"/>
        <d v="2025-06-10T14:41:00" u="1"/>
        <d v="2025-06-10T11:11:00" u="1"/>
        <d v="2025-06-10T08:33:00" u="1"/>
        <d v="2025-06-09T14:10:00" u="1"/>
        <d v="2025-06-09T10:22:00" u="1"/>
        <d v="2025-06-09T10:18:00" u="1"/>
        <d v="2025-06-06T16:10:00" u="1"/>
        <d v="2025-06-06T15:59:00" u="1"/>
        <d v="2025-06-06T15:50:00" u="1"/>
        <d v="2025-06-06T13:42:00" u="1"/>
        <d v="2025-06-06T08:59:00" u="1"/>
        <d v="2025-06-05T15:32:00" u="1"/>
        <d v="2025-06-05T14:31:00" u="1"/>
        <d v="2025-06-05T14:08:00" u="1"/>
        <d v="2025-06-05T08:00:00" u="1"/>
        <d v="2025-06-04T17:30:00" u="1"/>
        <d v="2025-06-04T14:25:00" u="1"/>
        <d v="2025-06-04T13:33:00" u="1"/>
        <d v="2025-06-04T10:24:00" u="1"/>
        <d v="2025-06-04T08:57:00" u="1"/>
        <d v="2025-06-04T08:18:00" u="1"/>
        <d v="2025-06-03T13:07:00" u="1"/>
        <d v="2025-06-03T11:43:00" u="1"/>
        <d v="2025-06-03T10:41:00" u="1"/>
        <d v="2025-06-03T09:02:00" u="1"/>
        <d v="2025-06-02T18:03:00" u="1"/>
        <d v="2025-02-14T11:30:00" u="1"/>
      </sharedItems>
      <fieldGroup par="18"/>
    </cacheField>
    <cacheField name="Début" numFmtId="20">
      <sharedItems containsNonDate="0" containsDate="1" containsString="0" containsBlank="1" minDate="2025-07-30T08:33:00" maxDate="2025-10-23T12:55:00"/>
    </cacheField>
    <cacheField name="Fin" numFmtId="20">
      <sharedItems containsNonDate="0" containsDate="1" containsString="0" containsBlank="1" minDate="2025-07-30T09:12:00" maxDate="2025-10-23T13:05:00"/>
    </cacheField>
    <cacheField name="Durée" numFmtId="4">
      <sharedItems containsString="0" containsBlank="1" containsNumber="1" minValue="3.3000000000000002E-2" maxValue="25.016999999999999"/>
    </cacheField>
    <cacheField name="Durée (heures et minutes)" numFmtId="0">
      <sharedItems containsBlank="1"/>
    </cacheField>
    <cacheField name="Tarif horaire" numFmtId="4">
      <sharedItems containsString="0" containsBlank="1" containsNumber="1" containsInteger="1" minValue="0" maxValue="42"/>
    </cacheField>
    <cacheField name="Remboursements" numFmtId="4">
      <sharedItems containsString="0" containsBlank="1" containsNumber="1" containsInteger="1" minValue="0" maxValue="0"/>
    </cacheField>
    <cacheField name="Remarques" numFmtId="0">
      <sharedItems containsBlank="1"/>
    </cacheField>
    <cacheField name="Payé / Non payé" numFmtId="0">
      <sharedItems containsBlank="1"/>
    </cacheField>
    <cacheField name="Gains" numFmtId="4">
      <sharedItems containsString="0" containsBlank="1" containsNumber="1" minValue="0" maxValue="197.4"/>
    </cacheField>
    <cacheField name="Pause" numFmtId="4">
      <sharedItems containsNonDate="0" containsString="0" containsBlank="1"/>
    </cacheField>
    <cacheField name="Autres revenus" numFmtId="4">
      <sharedItems containsNonDate="0" containsString="0" containsBlank="1"/>
    </cacheField>
    <cacheField name="Taxes" numFmtId="4">
      <sharedItems containsNonDate="0" containsString="0" containsBlank="1"/>
    </cacheField>
    <cacheField name="Type" numFmtId="4">
      <sharedItems count="2">
        <s v="Autre"/>
        <s v="Cours particuliers"/>
      </sharedItems>
    </cacheField>
    <cacheField name="Mois (Mois)" numFmtId="0" databaseField="0">
      <fieldGroup base="2">
        <rangePr groupBy="months" startDate="1899-12-30T00:00:00" endDate="2025-10-23T12:55:00"/>
        <groupItems count="14">
          <s v="&lt;00/01/1900"/>
          <s v="janv"/>
          <s v="févr"/>
          <s v="mars"/>
          <s v="avr"/>
          <s v="mai"/>
          <s v="juin"/>
          <s v="juil"/>
          <s v="août"/>
          <s v="sept"/>
          <s v="oct"/>
          <s v="nov"/>
          <s v="déc"/>
          <s v="&gt;23/10/2025"/>
        </groupItems>
      </fieldGroup>
    </cacheField>
    <cacheField name="Trimestres (Mois)" numFmtId="0" databaseField="0">
      <fieldGroup base="2">
        <rangePr groupBy="quarters" startDate="1899-12-30T00:00:00" endDate="2025-10-23T12:55:00"/>
        <groupItems count="6">
          <s v="&lt;00/01/1900"/>
          <s v="Trimestre1"/>
          <s v="Trimestre2"/>
          <s v="Trimestre3"/>
          <s v="Trimestre4"/>
          <s v="&gt;23/10/2025"/>
        </groupItems>
      </fieldGroup>
    </cacheField>
    <cacheField name="Années (Mois)" numFmtId="0" databaseField="0">
      <fieldGroup base="2">
        <rangePr groupBy="years" startDate="1899-12-30T00:00:00" endDate="2025-10-23T12:55:00"/>
        <groupItems count="128">
          <s v="&lt;00/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23/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6">
  <r>
    <x v="0"/>
    <d v="2025-07-30T08:33:00"/>
    <x v="0"/>
    <d v="2025-07-30T08:33:00"/>
    <d v="2025-07-30T09:12:00"/>
    <n v="0.4"/>
    <s v="24m"/>
    <n v="0"/>
    <n v="0"/>
    <s v=""/>
    <s v="Non payé"/>
    <n v="0"/>
    <m/>
    <m/>
    <m/>
    <x v="0"/>
  </r>
  <r>
    <x v="1"/>
    <d v="2025-07-30T09:13:00"/>
    <x v="1"/>
    <d v="2025-07-30T09:13:00"/>
    <d v="2025-07-30T10:40:00"/>
    <n v="0.89999999999999991"/>
    <s v="54m"/>
    <n v="0"/>
    <n v="0"/>
    <s v=""/>
    <s v="Non payé"/>
    <n v="0"/>
    <m/>
    <m/>
    <m/>
    <x v="0"/>
  </r>
  <r>
    <x v="2"/>
    <d v="2025-07-30T10:07:00"/>
    <x v="2"/>
    <d v="2025-07-30T10:07:00"/>
    <d v="2025-07-30T10:38:00"/>
    <n v="0.51700000000000002"/>
    <s v="31m"/>
    <n v="0"/>
    <n v="0"/>
    <s v=""/>
    <s v="Non payé"/>
    <n v="0"/>
    <m/>
    <m/>
    <m/>
    <x v="0"/>
  </r>
  <r>
    <x v="1"/>
    <d v="2025-07-30T10:41:00"/>
    <x v="3"/>
    <d v="2025-07-30T10:41:00"/>
    <d v="2025-07-30T11:12:00"/>
    <n v="0.51700000000000002"/>
    <s v="31m"/>
    <n v="0"/>
    <n v="0"/>
    <s v=""/>
    <s v="Non payé"/>
    <n v="0"/>
    <m/>
    <m/>
    <m/>
    <x v="0"/>
  </r>
  <r>
    <x v="2"/>
    <d v="2025-07-30T11:12:00"/>
    <x v="4"/>
    <d v="2025-07-30T11:12:00"/>
    <d v="2025-07-30T11:39:00"/>
    <n v="0.45"/>
    <s v="27m"/>
    <n v="0"/>
    <n v="0"/>
    <s v=""/>
    <s v="Non payé"/>
    <n v="0"/>
    <m/>
    <m/>
    <m/>
    <x v="0"/>
  </r>
  <r>
    <x v="3"/>
    <d v="2025-07-30T12:51:00"/>
    <x v="5"/>
    <d v="2025-07-30T12:51:00"/>
    <d v="2025-07-30T13:55:00"/>
    <n v="1.0669999999999999"/>
    <s v="1h 4min"/>
    <n v="0"/>
    <n v="0"/>
    <s v=""/>
    <s v="Non payé"/>
    <n v="0"/>
    <m/>
    <m/>
    <m/>
    <x v="0"/>
  </r>
  <r>
    <x v="2"/>
    <d v="2025-07-30T14:01:00"/>
    <x v="6"/>
    <d v="2025-07-30T14:01:00"/>
    <d v="2025-07-30T14:20:00"/>
    <n v="0.317"/>
    <s v="19m"/>
    <n v="0"/>
    <n v="0"/>
    <s v=""/>
    <s v="Non payé"/>
    <n v="0"/>
    <m/>
    <m/>
    <m/>
    <x v="0"/>
  </r>
  <r>
    <x v="4"/>
    <d v="2025-07-30T14:19:00"/>
    <x v="7"/>
    <d v="2025-07-30T14:19:00"/>
    <d v="2025-07-30T15:31:00"/>
    <n v="1.2"/>
    <s v="1h 12min"/>
    <n v="0"/>
    <n v="0"/>
    <s v=""/>
    <s v="Non payé"/>
    <n v="0"/>
    <m/>
    <m/>
    <m/>
    <x v="0"/>
  </r>
  <r>
    <x v="4"/>
    <d v="2025-07-30T16:12:00"/>
    <x v="8"/>
    <d v="2025-07-30T16:12:00"/>
    <d v="2025-07-30T17:20:00"/>
    <n v="1.133"/>
    <s v="1h 8min"/>
    <n v="0"/>
    <n v="0"/>
    <s v=""/>
    <s v="Non payé"/>
    <n v="0"/>
    <m/>
    <m/>
    <m/>
    <x v="0"/>
  </r>
  <r>
    <x v="2"/>
    <d v="2025-07-31T10:16:00"/>
    <x v="9"/>
    <d v="2025-07-31T10:16:00"/>
    <d v="2025-07-31T10:21:00"/>
    <n v="8.3000000000000004E-2"/>
    <s v="5m"/>
    <n v="0"/>
    <n v="0"/>
    <s v=""/>
    <s v="Non payé"/>
    <n v="0"/>
    <m/>
    <m/>
    <m/>
    <x v="0"/>
  </r>
  <r>
    <x v="1"/>
    <d v="2025-07-31T10:21:00"/>
    <x v="10"/>
    <d v="2025-07-31T10:21:00"/>
    <d v="2025-07-31T12:50:00"/>
    <n v="2.4830000000000001"/>
    <s v="2h 29min"/>
    <n v="0"/>
    <n v="0"/>
    <s v=""/>
    <s v="Non payé"/>
    <n v="0"/>
    <m/>
    <m/>
    <m/>
    <x v="0"/>
  </r>
  <r>
    <x v="1"/>
    <d v="2025-07-31T14:26:00"/>
    <x v="11"/>
    <d v="2025-07-31T14:26:00"/>
    <d v="2025-07-31T15:41:00"/>
    <n v="1.25"/>
    <s v="1h 15min"/>
    <n v="0"/>
    <n v="0"/>
    <s v=""/>
    <s v="Non payé"/>
    <n v="0"/>
    <m/>
    <m/>
    <m/>
    <x v="0"/>
  </r>
  <r>
    <x v="1"/>
    <d v="2025-07-31T15:43:00"/>
    <x v="12"/>
    <d v="2025-07-31T15:43:00"/>
    <d v="2025-07-31T15:53:00"/>
    <n v="0.16700000000000001"/>
    <s v="10m"/>
    <n v="0"/>
    <n v="0"/>
    <s v=""/>
    <s v="Non payé"/>
    <n v="0"/>
    <m/>
    <m/>
    <m/>
    <x v="0"/>
  </r>
  <r>
    <x v="5"/>
    <d v="2025-07-31T15:53:00"/>
    <x v="13"/>
    <d v="2025-07-31T15:53:00"/>
    <d v="2025-07-31T16:04:00"/>
    <n v="0.183"/>
    <s v="11m"/>
    <n v="0"/>
    <n v="0"/>
    <s v=""/>
    <s v="Non payé"/>
    <n v="0"/>
    <m/>
    <m/>
    <m/>
    <x v="0"/>
  </r>
  <r>
    <x v="2"/>
    <d v="2025-07-31T16:07:00"/>
    <x v="14"/>
    <d v="2025-07-31T16:07:00"/>
    <d v="2025-07-31T17:01:00"/>
    <n v="0.9"/>
    <s v="54m"/>
    <n v="0"/>
    <n v="0"/>
    <s v=""/>
    <s v="Non payé"/>
    <n v="0"/>
    <m/>
    <m/>
    <m/>
    <x v="0"/>
  </r>
  <r>
    <x v="6"/>
    <d v="2025-07-31T17:05:00"/>
    <x v="15"/>
    <d v="2025-07-31T17:05:00"/>
    <d v="2025-07-31T17:17:00"/>
    <n v="0.2"/>
    <s v="12m"/>
    <n v="0"/>
    <n v="0"/>
    <s v=""/>
    <s v="Non payé"/>
    <n v="0"/>
    <m/>
    <m/>
    <m/>
    <x v="0"/>
  </r>
  <r>
    <x v="0"/>
    <d v="2025-08-01T09:09:00"/>
    <x v="16"/>
    <d v="2025-08-01T09:09:00"/>
    <d v="2025-08-02T10:10:00"/>
    <n v="25.016999999999999"/>
    <s v="25h 1min"/>
    <n v="0"/>
    <n v="0"/>
    <s v=""/>
    <s v="Non payé"/>
    <n v="0"/>
    <m/>
    <m/>
    <m/>
    <x v="0"/>
  </r>
  <r>
    <x v="0"/>
    <d v="2025-08-04T11:24:00"/>
    <x v="17"/>
    <d v="2025-08-04T11:24:00"/>
    <d v="2025-08-04T12:35:00"/>
    <n v="0.93300000000000005"/>
    <s v="56m"/>
    <n v="0"/>
    <n v="0"/>
    <s v=""/>
    <s v="Non payé"/>
    <n v="0"/>
    <m/>
    <m/>
    <m/>
    <x v="0"/>
  </r>
  <r>
    <x v="0"/>
    <d v="2025-08-04T13:27:00"/>
    <x v="18"/>
    <d v="2025-08-04T13:27:00"/>
    <d v="2025-08-04T15:52:00"/>
    <n v="1.6839999999999997"/>
    <s v="1h 41min"/>
    <n v="0"/>
    <n v="0"/>
    <s v=""/>
    <s v="Non payé"/>
    <n v="0"/>
    <m/>
    <m/>
    <m/>
    <x v="0"/>
  </r>
  <r>
    <x v="7"/>
    <d v="2025-08-04T15:50:00"/>
    <x v="19"/>
    <d v="2025-08-04T15:50:00"/>
    <d v="2025-08-04T16:53:00"/>
    <n v="0.86699999999999999"/>
    <s v="52m"/>
    <n v="0"/>
    <n v="0"/>
    <s v=""/>
    <s v="Non payé"/>
    <n v="0"/>
    <m/>
    <m/>
    <m/>
    <x v="0"/>
  </r>
  <r>
    <x v="2"/>
    <d v="2025-08-04T16:54:00"/>
    <x v="20"/>
    <d v="2025-08-04T16:54:00"/>
    <d v="2025-08-04T17:01:00"/>
    <n v="0.11700000000000001"/>
    <s v="7m"/>
    <n v="0"/>
    <n v="0"/>
    <s v=""/>
    <s v="Non payé"/>
    <n v="0"/>
    <m/>
    <m/>
    <m/>
    <x v="0"/>
  </r>
  <r>
    <x v="2"/>
    <d v="2025-08-20T15:31:00"/>
    <x v="21"/>
    <d v="2025-08-20T15:31:00"/>
    <d v="2025-08-20T17:38:00"/>
    <n v="2.117"/>
    <s v="2h 7min"/>
    <n v="0"/>
    <n v="0"/>
    <s v=""/>
    <s v="Non payé"/>
    <n v="0"/>
    <m/>
    <m/>
    <m/>
    <x v="0"/>
  </r>
  <r>
    <x v="2"/>
    <d v="2025-08-21T11:05:00"/>
    <x v="22"/>
    <d v="2025-08-21T11:05:00"/>
    <d v="2025-08-21T13:00:00"/>
    <n v="1.85"/>
    <s v="1h 51min"/>
    <n v="0"/>
    <n v="0"/>
    <s v=""/>
    <s v="Non payé"/>
    <n v="0"/>
    <m/>
    <m/>
    <m/>
    <x v="0"/>
  </r>
  <r>
    <x v="8"/>
    <d v="2025-08-21T12:59:00"/>
    <x v="23"/>
    <d v="2025-08-21T12:59:00"/>
    <d v="2025-08-21T13:12:00"/>
    <n v="0.217"/>
    <s v="13m"/>
    <n v="0"/>
    <n v="0"/>
    <s v=""/>
    <s v="Non payé"/>
    <n v="0"/>
    <m/>
    <m/>
    <m/>
    <x v="0"/>
  </r>
  <r>
    <x v="8"/>
    <d v="2025-08-21T13:40:00"/>
    <x v="24"/>
    <d v="2025-08-21T13:40:00"/>
    <d v="2025-08-21T17:06:00"/>
    <n v="2.7159999999999997"/>
    <s v="2h 43min"/>
    <n v="0"/>
    <n v="0"/>
    <s v=""/>
    <s v="Non payé"/>
    <n v="0"/>
    <m/>
    <m/>
    <m/>
    <x v="0"/>
  </r>
  <r>
    <x v="8"/>
    <d v="2025-08-22T08:37:00"/>
    <x v="25"/>
    <d v="2025-08-22T08:37:00"/>
    <d v="2025-08-22T09:46:00"/>
    <n v="1.0669999999999999"/>
    <s v="1h 4min"/>
    <n v="0"/>
    <n v="0"/>
    <s v=""/>
    <s v="Non payé"/>
    <n v="0"/>
    <m/>
    <m/>
    <m/>
    <x v="0"/>
  </r>
  <r>
    <x v="8"/>
    <d v="2025-08-22T09:50:00"/>
    <x v="26"/>
    <d v="2025-08-22T09:50:00"/>
    <d v="2025-08-22T11:17:00"/>
    <n v="1.45"/>
    <s v="1h 27min"/>
    <n v="0"/>
    <n v="0"/>
    <s v=""/>
    <s v="Non payé"/>
    <n v="0"/>
    <m/>
    <m/>
    <m/>
    <x v="0"/>
  </r>
  <r>
    <x v="8"/>
    <d v="2025-08-22T11:49:00"/>
    <x v="27"/>
    <d v="2025-08-22T11:49:00"/>
    <d v="2025-08-22T12:08:00"/>
    <n v="0.317"/>
    <s v="19m"/>
    <n v="0"/>
    <n v="0"/>
    <s v=""/>
    <s v="Non payé"/>
    <n v="0"/>
    <m/>
    <m/>
    <m/>
    <x v="0"/>
  </r>
  <r>
    <x v="9"/>
    <d v="2025-08-22T14:35:00"/>
    <x v="28"/>
    <d v="2025-08-22T14:35:00"/>
    <d v="2025-08-22T14:56:00"/>
    <n v="0.35"/>
    <s v="21m"/>
    <n v="0"/>
    <n v="0"/>
    <s v="Appel Sophie"/>
    <s v="Non payé"/>
    <n v="0"/>
    <m/>
    <m/>
    <m/>
    <x v="0"/>
  </r>
  <r>
    <x v="5"/>
    <d v="2025-08-22T14:56:00"/>
    <x v="29"/>
    <d v="2025-08-22T14:56:00"/>
    <d v="2025-08-22T15:01:00"/>
    <n v="8.3000000000000004E-2"/>
    <s v="5m"/>
    <n v="0"/>
    <n v="0"/>
    <s v=""/>
    <s v="Non payé"/>
    <n v="0"/>
    <m/>
    <m/>
    <m/>
    <x v="0"/>
  </r>
  <r>
    <x v="2"/>
    <d v="2025-08-22T15:02:00"/>
    <x v="30"/>
    <d v="2025-08-22T15:02:00"/>
    <d v="2025-08-22T15:08:00"/>
    <n v="0.1"/>
    <s v="6m"/>
    <n v="0"/>
    <n v="0"/>
    <s v=""/>
    <s v="Non payé"/>
    <n v="0"/>
    <m/>
    <m/>
    <m/>
    <x v="0"/>
  </r>
  <r>
    <x v="1"/>
    <d v="2025-08-22T15:07:00"/>
    <x v="31"/>
    <d v="2025-08-22T15:07:00"/>
    <d v="2025-08-22T18:46:00"/>
    <n v="3.2669999999999999"/>
    <s v="3h 16min"/>
    <n v="0"/>
    <n v="0"/>
    <s v=""/>
    <s v="Non payé"/>
    <n v="0"/>
    <m/>
    <m/>
    <m/>
    <x v="0"/>
  </r>
  <r>
    <x v="2"/>
    <d v="2025-08-25T08:12:00"/>
    <x v="32"/>
    <d v="2025-08-25T08:12:00"/>
    <d v="2025-08-25T09:37:00"/>
    <n v="1.417"/>
    <s v="1h 25min"/>
    <n v="0"/>
    <n v="0"/>
    <s v=""/>
    <s v="Non payé"/>
    <n v="0"/>
    <m/>
    <m/>
    <m/>
    <x v="0"/>
  </r>
  <r>
    <x v="1"/>
    <d v="2025-08-25T09:37:00"/>
    <x v="33"/>
    <d v="2025-08-25T09:37:00"/>
    <d v="2025-08-25T11:57:00"/>
    <n v="2.2000000000000002"/>
    <s v="2h 12min"/>
    <n v="0"/>
    <n v="0"/>
    <s v=""/>
    <s v="Non payé"/>
    <n v="0"/>
    <m/>
    <m/>
    <m/>
    <x v="0"/>
  </r>
  <r>
    <x v="4"/>
    <d v="2025-08-25T12:59:00"/>
    <x v="34"/>
    <d v="2025-08-25T12:59:00"/>
    <d v="2025-08-25T14:58:00"/>
    <n v="1.9000000000000001"/>
    <s v="1h 54min"/>
    <n v="0"/>
    <n v="0"/>
    <s v=""/>
    <s v="Non payé"/>
    <n v="0"/>
    <m/>
    <m/>
    <m/>
    <x v="0"/>
  </r>
  <r>
    <x v="0"/>
    <d v="2025-08-25T17:15:00"/>
    <x v="35"/>
    <d v="2025-08-25T17:15:00"/>
    <d v="2025-08-25T17:51:00"/>
    <n v="0.6"/>
    <s v="36m"/>
    <n v="0"/>
    <n v="0"/>
    <s v="NDA et exonération TVA"/>
    <s v="Non payé"/>
    <n v="0"/>
    <m/>
    <m/>
    <m/>
    <x v="0"/>
  </r>
  <r>
    <x v="4"/>
    <d v="2025-08-26T08:43:00"/>
    <x v="36"/>
    <d v="2025-08-26T08:43:00"/>
    <d v="2025-08-26T12:06:00"/>
    <n v="3.0830000000000002"/>
    <s v="3h 5min"/>
    <n v="0"/>
    <n v="0"/>
    <s v="Fin cours complexes"/>
    <s v="Non payé"/>
    <n v="0"/>
    <m/>
    <m/>
    <m/>
    <x v="0"/>
  </r>
  <r>
    <x v="2"/>
    <d v="2025-08-26T13:44:00"/>
    <x v="37"/>
    <d v="2025-08-26T13:44:00"/>
    <d v="2025-08-26T13:59:00"/>
    <n v="0.25"/>
    <s v="15m"/>
    <n v="0"/>
    <n v="0"/>
    <s v=""/>
    <s v="Non payé"/>
    <n v="0"/>
    <m/>
    <m/>
    <m/>
    <x v="0"/>
  </r>
  <r>
    <x v="8"/>
    <d v="2025-08-26T13:59:00"/>
    <x v="38"/>
    <d v="2025-08-26T13:59:00"/>
    <d v="2025-08-26T15:27:00"/>
    <n v="1.4670000000000001"/>
    <s v="1h 28min"/>
    <n v="0"/>
    <n v="0"/>
    <s v=""/>
    <s v="Non payé"/>
    <n v="0"/>
    <m/>
    <m/>
    <m/>
    <x v="0"/>
  </r>
  <r>
    <x v="0"/>
    <d v="2025-08-27T09:17:00"/>
    <x v="39"/>
    <d v="2025-08-27T09:17:00"/>
    <d v="2025-08-27T10:00:00"/>
    <n v="0.71699999999999997"/>
    <s v="43m"/>
    <n v="0"/>
    <n v="0"/>
    <s v=""/>
    <s v="Non payé"/>
    <n v="0"/>
    <m/>
    <m/>
    <m/>
    <x v="0"/>
  </r>
  <r>
    <x v="8"/>
    <d v="2025-08-27T10:29:00"/>
    <x v="40"/>
    <d v="2025-08-27T10:29:00"/>
    <d v="2025-08-27T12:10:00"/>
    <n v="1.6830000000000001"/>
    <s v="1h 41min"/>
    <n v="0"/>
    <n v="0"/>
    <s v=""/>
    <s v="Non payé"/>
    <n v="0"/>
    <m/>
    <m/>
    <m/>
    <x v="0"/>
  </r>
  <r>
    <x v="10"/>
    <d v="2025-08-27T12:10:00"/>
    <x v="41"/>
    <d v="2025-08-27T12:10:00"/>
    <d v="2025-08-27T12:51:00"/>
    <n v="0.68300000000000005"/>
    <s v="41m"/>
    <n v="0"/>
    <n v="0"/>
    <s v=""/>
    <s v="Non payé"/>
    <n v="0"/>
    <m/>
    <m/>
    <m/>
    <x v="0"/>
  </r>
  <r>
    <x v="9"/>
    <d v="2025-08-27T13:50:00"/>
    <x v="42"/>
    <d v="2025-08-27T13:50:00"/>
    <d v="2025-08-27T14:03:00"/>
    <n v="0.217"/>
    <s v="13m"/>
    <n v="0"/>
    <n v="0"/>
    <s v=""/>
    <s v="Non payé"/>
    <n v="0"/>
    <m/>
    <m/>
    <m/>
    <x v="0"/>
  </r>
  <r>
    <x v="11"/>
    <d v="2025-08-27T14:34:00"/>
    <x v="43"/>
    <d v="2025-08-27T14:34:00"/>
    <d v="2025-08-27T16:03:00"/>
    <n v="1.4830000000000001"/>
    <s v="1h 29min"/>
    <n v="40"/>
    <n v="0"/>
    <s v=""/>
    <s v="Non payé"/>
    <n v="59.320000000000007"/>
    <m/>
    <m/>
    <m/>
    <x v="1"/>
  </r>
  <r>
    <x v="2"/>
    <d v="2025-08-28T09:25:00"/>
    <x v="44"/>
    <d v="2025-08-28T09:25:00"/>
    <d v="2025-08-28T10:31:00"/>
    <n v="1.0330000000000001"/>
    <s v="1h 2min"/>
    <n v="0"/>
    <n v="0"/>
    <s v=""/>
    <s v="Non payé"/>
    <n v="0"/>
    <m/>
    <m/>
    <m/>
    <x v="0"/>
  </r>
  <r>
    <x v="5"/>
    <d v="2025-08-28T10:31:00"/>
    <x v="45"/>
    <d v="2025-08-28T10:31:00"/>
    <d v="2025-08-28T10:57:00"/>
    <n v="0.433"/>
    <s v="26m"/>
    <n v="0"/>
    <n v="0"/>
    <s v=""/>
    <s v="Non payé"/>
    <n v="0"/>
    <m/>
    <m/>
    <m/>
    <x v="0"/>
  </r>
  <r>
    <x v="12"/>
    <d v="2025-08-28T11:00:00"/>
    <x v="46"/>
    <d v="2025-08-28T11:00:00"/>
    <d v="2025-08-28T11:53:00"/>
    <n v="0.88300000000000001"/>
    <s v="53m"/>
    <n v="0"/>
    <n v="0"/>
    <s v="St Félix"/>
    <s v="Non payé"/>
    <n v="0"/>
    <m/>
    <m/>
    <m/>
    <x v="0"/>
  </r>
  <r>
    <x v="5"/>
    <d v="2025-08-28T11:53:00"/>
    <x v="47"/>
    <d v="2025-08-28T11:53:00"/>
    <d v="2025-08-28T12:03:00"/>
    <n v="0.16700000000000001"/>
    <s v="10m"/>
    <n v="0"/>
    <n v="0"/>
    <s v=""/>
    <s v="Non payé"/>
    <n v="0"/>
    <m/>
    <m/>
    <m/>
    <x v="0"/>
  </r>
  <r>
    <x v="13"/>
    <d v="2025-08-28T12:05:00"/>
    <x v="48"/>
    <d v="2025-08-28T12:05:00"/>
    <d v="2025-08-28T12:35:00"/>
    <n v="0.5"/>
    <s v="30m"/>
    <n v="0"/>
    <n v="0"/>
    <s v=""/>
    <s v="Non payé"/>
    <n v="0"/>
    <m/>
    <m/>
    <m/>
    <x v="0"/>
  </r>
  <r>
    <x v="3"/>
    <d v="2025-08-28T14:14:00"/>
    <x v="49"/>
    <d v="2025-08-28T14:14:00"/>
    <d v="2025-08-28T14:23:00"/>
    <n v="0.15"/>
    <s v="9m"/>
    <n v="0"/>
    <n v="0"/>
    <s v=""/>
    <s v="Non payé"/>
    <n v="0"/>
    <m/>
    <m/>
    <m/>
    <x v="0"/>
  </r>
  <r>
    <x v="4"/>
    <d v="2025-08-28T14:24:00"/>
    <x v="50"/>
    <d v="2025-08-28T14:24:00"/>
    <d v="2025-08-28T16:18:00"/>
    <n v="1.833"/>
    <s v="1h 50min"/>
    <n v="0"/>
    <n v="0"/>
    <s v="Début prep calculs algébriques"/>
    <s v="Non payé"/>
    <n v="0"/>
    <m/>
    <m/>
    <m/>
    <x v="0"/>
  </r>
  <r>
    <x v="2"/>
    <d v="2025-08-28T16:36:00"/>
    <x v="51"/>
    <d v="2025-08-28T16:36:00"/>
    <d v="2025-08-28T16:53:00"/>
    <n v="0.28299999999999997"/>
    <s v="17m"/>
    <n v="0"/>
    <n v="0"/>
    <s v=""/>
    <s v="Non payé"/>
    <n v="0"/>
    <m/>
    <m/>
    <m/>
    <x v="0"/>
  </r>
  <r>
    <x v="14"/>
    <d v="2025-08-28T17:03:00"/>
    <x v="52"/>
    <d v="2025-08-28T17:03:00"/>
    <d v="2025-08-28T17:44:00"/>
    <n v="0.68300000000000005"/>
    <s v="41m"/>
    <n v="0"/>
    <n v="0"/>
    <s v=""/>
    <s v="Non payé"/>
    <n v="0"/>
    <m/>
    <m/>
    <m/>
    <x v="0"/>
  </r>
  <r>
    <x v="14"/>
    <d v="2025-08-29T08:59:00"/>
    <x v="53"/>
    <d v="2025-08-29T08:59:00"/>
    <d v="2025-08-29T11:15:00"/>
    <n v="2.2669999999999999"/>
    <s v="2h 16min"/>
    <n v="0"/>
    <n v="0"/>
    <s v=""/>
    <s v="Non payé"/>
    <n v="0"/>
    <m/>
    <m/>
    <m/>
    <x v="0"/>
  </r>
  <r>
    <x v="0"/>
    <d v="2025-08-29T11:40:00"/>
    <x v="54"/>
    <d v="2025-08-29T11:40:00"/>
    <d v="2025-08-29T11:46:00"/>
    <n v="0.1"/>
    <s v="6m"/>
    <n v="0"/>
    <n v="0"/>
    <s v=""/>
    <s v="Non payé"/>
    <n v="0"/>
    <m/>
    <m/>
    <m/>
    <x v="0"/>
  </r>
  <r>
    <x v="0"/>
    <d v="2025-08-29T21:57:00"/>
    <x v="55"/>
    <d v="2025-08-29T21:57:00"/>
    <d v="2025-08-29T22:05:00"/>
    <n v="0.13300000000000001"/>
    <s v="8m"/>
    <n v="0"/>
    <n v="0"/>
    <s v=""/>
    <s v="Non payé"/>
    <n v="0"/>
    <m/>
    <m/>
    <m/>
    <x v="0"/>
  </r>
  <r>
    <x v="15"/>
    <d v="2025-09-01T11:07:00"/>
    <x v="56"/>
    <d v="2025-09-01T11:07:00"/>
    <d v="2025-09-01T11:18:00"/>
    <n v="0.183"/>
    <s v="11m"/>
    <n v="0"/>
    <n v="0"/>
    <s v=""/>
    <s v="Non payé"/>
    <n v="0"/>
    <m/>
    <m/>
    <m/>
    <x v="0"/>
  </r>
  <r>
    <x v="16"/>
    <d v="2025-09-01T11:18:00"/>
    <x v="57"/>
    <d v="2025-09-01T11:18:00"/>
    <d v="2025-09-01T18:06:00"/>
    <n v="6.2329999999999997"/>
    <s v="6h 14min"/>
    <n v="0"/>
    <n v="0"/>
    <s v=""/>
    <s v="Non payé"/>
    <n v="0"/>
    <m/>
    <m/>
    <m/>
    <x v="0"/>
  </r>
  <r>
    <x v="16"/>
    <d v="2025-09-02T08:07:00"/>
    <x v="58"/>
    <d v="2025-09-02T08:07:00"/>
    <d v="2025-09-02T17:40:00"/>
    <n v="8"/>
    <s v="8h 0min"/>
    <n v="0"/>
    <n v="0"/>
    <s v=""/>
    <s v="Non payé"/>
    <n v="0"/>
    <m/>
    <m/>
    <m/>
    <x v="0"/>
  </r>
  <r>
    <x v="16"/>
    <d v="2025-09-03T08:05:00"/>
    <x v="59"/>
    <d v="2025-09-03T08:05:00"/>
    <d v="2025-09-03T17:20:00"/>
    <n v="7.4670000000000005"/>
    <s v="7h 28min"/>
    <n v="0"/>
    <n v="0"/>
    <s v=""/>
    <s v="Non payé"/>
    <n v="0"/>
    <m/>
    <m/>
    <m/>
    <x v="0"/>
  </r>
  <r>
    <x v="16"/>
    <d v="2025-09-04T08:15:00"/>
    <x v="60"/>
    <d v="2025-09-04T08:15:00"/>
    <d v="2025-09-04T16:59:00"/>
    <n v="7.5660000000000007"/>
    <s v="7h 34min"/>
    <n v="0"/>
    <n v="0"/>
    <s v=""/>
    <s v="Non payé"/>
    <n v="0"/>
    <m/>
    <m/>
    <m/>
    <x v="0"/>
  </r>
  <r>
    <x v="16"/>
    <d v="2025-09-04T17:10:00"/>
    <x v="61"/>
    <d v="2025-09-04T17:10:00"/>
    <d v="2025-09-04T17:19:00"/>
    <n v="0.15"/>
    <s v="9m"/>
    <n v="0"/>
    <n v="0"/>
    <s v=""/>
    <s v="Non payé"/>
    <n v="0"/>
    <m/>
    <m/>
    <m/>
    <x v="0"/>
  </r>
  <r>
    <x v="1"/>
    <d v="2025-09-04T18:31:00"/>
    <x v="62"/>
    <d v="2025-09-04T18:31:00"/>
    <d v="2025-09-04T19:20:00"/>
    <n v="0.81699999999999995"/>
    <s v="49m"/>
    <n v="0"/>
    <n v="0"/>
    <s v=""/>
    <s v="Non payé"/>
    <n v="0"/>
    <m/>
    <m/>
    <m/>
    <x v="0"/>
  </r>
  <r>
    <x v="0"/>
    <d v="2025-09-04T19:20:00"/>
    <x v="63"/>
    <d v="2025-09-04T19:20:00"/>
    <d v="2025-09-04T19:34:00"/>
    <n v="0.23300000000000001"/>
    <s v="14m"/>
    <n v="0"/>
    <n v="0"/>
    <s v=""/>
    <s v="Non payé"/>
    <n v="0"/>
    <m/>
    <m/>
    <m/>
    <x v="0"/>
  </r>
  <r>
    <x v="16"/>
    <d v="2025-09-05T07:59:00"/>
    <x v="64"/>
    <d v="2025-09-05T07:59:00"/>
    <d v="2025-09-05T18:09:00"/>
    <n v="9.0839999999999996"/>
    <s v="9h 5min"/>
    <n v="0"/>
    <n v="0"/>
    <s v=""/>
    <s v="Non payé"/>
    <n v="0"/>
    <m/>
    <m/>
    <m/>
    <x v="0"/>
  </r>
  <r>
    <x v="9"/>
    <d v="2025-09-06T18:12:00"/>
    <x v="65"/>
    <d v="2025-09-06T18:12:00"/>
    <d v="2025-09-06T18:22:00"/>
    <n v="0.16700000000000001"/>
    <s v="10m"/>
    <n v="0"/>
    <n v="0"/>
    <s v=""/>
    <s v="Non payé"/>
    <n v="0"/>
    <m/>
    <m/>
    <m/>
    <x v="0"/>
  </r>
  <r>
    <x v="2"/>
    <d v="2025-09-08T08:29:00"/>
    <x v="66"/>
    <d v="2025-09-08T08:29:00"/>
    <d v="2025-09-08T09:19:00"/>
    <n v="0.78299999999999992"/>
    <s v="47m"/>
    <n v="0"/>
    <n v="0"/>
    <s v=""/>
    <s v="Non payé"/>
    <n v="0"/>
    <m/>
    <m/>
    <m/>
    <x v="0"/>
  </r>
  <r>
    <x v="15"/>
    <d v="2025-09-08T10:59:00"/>
    <x v="67"/>
    <d v="2025-09-08T10:59:00"/>
    <d v="2025-09-08T12:26:00"/>
    <n v="0.38300000000000001"/>
    <s v="23m"/>
    <n v="0"/>
    <n v="0"/>
    <s v=""/>
    <s v="Non payé"/>
    <n v="0"/>
    <m/>
    <m/>
    <m/>
    <x v="0"/>
  </r>
  <r>
    <x v="2"/>
    <d v="2025-09-08T14:07:00"/>
    <x v="68"/>
    <d v="2025-09-08T14:07:00"/>
    <d v="2025-09-08T15:39:00"/>
    <n v="1.3499999999999999"/>
    <s v="1h 21min"/>
    <n v="0"/>
    <n v="0"/>
    <s v=""/>
    <s v="Non payé"/>
    <n v="0"/>
    <m/>
    <m/>
    <m/>
    <x v="0"/>
  </r>
  <r>
    <x v="2"/>
    <d v="2025-09-08T17:19:00"/>
    <x v="69"/>
    <d v="2025-09-08T17:19:00"/>
    <d v="2025-09-08T18:46:00"/>
    <n v="1.45"/>
    <s v="1h 27min"/>
    <n v="0"/>
    <n v="0"/>
    <s v="RDV Lus Assurances "/>
    <s v="Non payé"/>
    <n v="0"/>
    <m/>
    <m/>
    <m/>
    <x v="0"/>
  </r>
  <r>
    <x v="17"/>
    <d v="2025-09-08T19:07:00"/>
    <x v="70"/>
    <d v="2025-09-08T19:07:00"/>
    <d v="2025-09-08T22:45:00"/>
    <n v="3.633"/>
    <s v="3h 38min"/>
    <n v="0"/>
    <n v="0"/>
    <s v=""/>
    <s v="Non payé"/>
    <n v="0"/>
    <m/>
    <m/>
    <m/>
    <x v="0"/>
  </r>
  <r>
    <x v="2"/>
    <d v="2025-09-09T09:01:00"/>
    <x v="71"/>
    <d v="2025-09-09T09:01:00"/>
    <d v="2025-09-09T10:42:00"/>
    <n v="1.516"/>
    <s v="1h 31min"/>
    <n v="0"/>
    <n v="0"/>
    <s v=""/>
    <s v="Non payé"/>
    <n v="0"/>
    <m/>
    <m/>
    <m/>
    <x v="0"/>
  </r>
  <r>
    <x v="16"/>
    <d v="2025-09-09T10:43:00"/>
    <x v="72"/>
    <d v="2025-09-09T10:43:00"/>
    <d v="2025-09-09T17:41:00"/>
    <n v="6.9669999999999996"/>
    <s v="6h 58min"/>
    <n v="0"/>
    <n v="0"/>
    <s v=""/>
    <s v="Non payé"/>
    <n v="0"/>
    <m/>
    <m/>
    <m/>
    <x v="0"/>
  </r>
  <r>
    <x v="18"/>
    <d v="2025-09-10T08:57:00"/>
    <x v="73"/>
    <d v="2025-09-10T08:57:00"/>
    <d v="2025-09-10T12:41:00"/>
    <n v="3.7330000000000001"/>
    <s v="3h 44min"/>
    <n v="0"/>
    <n v="0"/>
    <s v=""/>
    <s v="Non payé"/>
    <n v="0"/>
    <m/>
    <m/>
    <m/>
    <x v="0"/>
  </r>
  <r>
    <x v="2"/>
    <d v="2025-09-10T14:51:00"/>
    <x v="74"/>
    <d v="2025-09-10T14:51:00"/>
    <d v="2025-09-10T15:22:00"/>
    <n v="0.51700000000000002"/>
    <s v="31m"/>
    <n v="0"/>
    <n v="0"/>
    <s v=""/>
    <s v="Non payé"/>
    <n v="0"/>
    <m/>
    <m/>
    <m/>
    <x v="0"/>
  </r>
  <r>
    <x v="8"/>
    <d v="2025-09-10T15:22:00"/>
    <x v="75"/>
    <d v="2025-09-10T15:22:00"/>
    <d v="2025-09-10T17:23:00"/>
    <n v="1.617"/>
    <s v="1h 37min"/>
    <n v="0"/>
    <n v="0"/>
    <s v=""/>
    <s v="Non payé"/>
    <n v="0"/>
    <m/>
    <m/>
    <m/>
    <x v="0"/>
  </r>
  <r>
    <x v="2"/>
    <d v="2025-09-10T17:21:00"/>
    <x v="76"/>
    <d v="2025-09-10T17:21:00"/>
    <d v="2025-09-10T17:30:00"/>
    <n v="0.15"/>
    <s v="9m"/>
    <n v="0"/>
    <n v="0"/>
    <s v=""/>
    <s v="Non payé"/>
    <n v="0"/>
    <m/>
    <m/>
    <m/>
    <x v="0"/>
  </r>
  <r>
    <x v="8"/>
    <d v="2025-09-11T06:42:00"/>
    <x v="77"/>
    <d v="2025-09-11T06:42:00"/>
    <d v="2025-09-11T07:23:00"/>
    <n v="0.6160000000000001"/>
    <s v="37m"/>
    <n v="0"/>
    <n v="0"/>
    <s v=""/>
    <s v="Non payé"/>
    <n v="0"/>
    <m/>
    <m/>
    <m/>
    <x v="0"/>
  </r>
  <r>
    <x v="18"/>
    <d v="2025-09-11T07:39:00"/>
    <x v="78"/>
    <d v="2025-09-11T07:39:00"/>
    <d v="2025-09-11T13:17:00"/>
    <n v="4.7"/>
    <s v="4h 42min"/>
    <n v="42"/>
    <n v="0"/>
    <s v=""/>
    <s v="Non payé"/>
    <n v="197.4"/>
    <m/>
    <m/>
    <m/>
    <x v="0"/>
  </r>
  <r>
    <x v="9"/>
    <d v="2025-09-11T14:01:00"/>
    <x v="79"/>
    <d v="2025-09-11T14:01:00"/>
    <d v="2025-09-11T14:43:00"/>
    <n v="0.49999999999999994"/>
    <s v="30m"/>
    <n v="0"/>
    <n v="0"/>
    <s v=""/>
    <s v="Non payé"/>
    <n v="0"/>
    <m/>
    <m/>
    <m/>
    <x v="0"/>
  </r>
  <r>
    <x v="2"/>
    <d v="2025-09-11T14:30:00"/>
    <x v="80"/>
    <d v="2025-09-11T14:30:00"/>
    <d v="2025-09-11T14:43:00"/>
    <n v="0.217"/>
    <s v="13m"/>
    <n v="0"/>
    <n v="0"/>
    <s v=""/>
    <s v="Non payé"/>
    <n v="0"/>
    <m/>
    <m/>
    <m/>
    <x v="0"/>
  </r>
  <r>
    <x v="9"/>
    <d v="2025-09-11T14:45:00"/>
    <x v="81"/>
    <d v="2025-09-11T14:45:00"/>
    <d v="2025-09-11T14:54:00"/>
    <n v="0.15"/>
    <s v="9m"/>
    <n v="0"/>
    <n v="0"/>
    <s v=""/>
    <s v="Non payé"/>
    <n v="0"/>
    <m/>
    <m/>
    <m/>
    <x v="0"/>
  </r>
  <r>
    <x v="19"/>
    <d v="2025-09-11T14:56:00"/>
    <x v="82"/>
    <d v="2025-09-11T14:56:00"/>
    <d v="2025-09-11T15:26:00"/>
    <n v="0.5"/>
    <s v="30m"/>
    <n v="0"/>
    <n v="0"/>
    <s v=""/>
    <s v="Non payé"/>
    <n v="0"/>
    <m/>
    <m/>
    <m/>
    <x v="0"/>
  </r>
  <r>
    <x v="4"/>
    <d v="2025-09-11T15:25:00"/>
    <x v="83"/>
    <d v="2025-09-11T15:25:00"/>
    <d v="2025-09-11T15:48:00"/>
    <n v="0.38300000000000001"/>
    <s v="23m"/>
    <n v="0"/>
    <n v="0"/>
    <s v=""/>
    <s v="Non payé"/>
    <n v="0"/>
    <m/>
    <m/>
    <m/>
    <x v="0"/>
  </r>
  <r>
    <x v="13"/>
    <d v="2025-09-11T15:48:00"/>
    <x v="84"/>
    <d v="2025-09-11T15:48:00"/>
    <d v="2025-09-11T16:12:00"/>
    <n v="0.4"/>
    <s v="24m"/>
    <n v="0"/>
    <n v="0"/>
    <s v=""/>
    <s v="Non payé"/>
    <n v="0"/>
    <m/>
    <m/>
    <m/>
    <x v="0"/>
  </r>
  <r>
    <x v="20"/>
    <d v="2025-09-11T16:41:00"/>
    <x v="85"/>
    <d v="2025-09-11T16:41:00"/>
    <d v="2025-09-11T17:53:00"/>
    <n v="1.2"/>
    <s v="1h 12min"/>
    <n v="30"/>
    <n v="0"/>
    <s v=""/>
    <s v="Non payé"/>
    <n v="36"/>
    <m/>
    <m/>
    <m/>
    <x v="1"/>
  </r>
  <r>
    <x v="4"/>
    <d v="2025-09-12T06:42:00"/>
    <x v="86"/>
    <d v="2025-09-12T06:42:00"/>
    <d v="2025-09-12T07:10:00"/>
    <n v="0.46700000000000003"/>
    <s v="28m"/>
    <n v="0"/>
    <n v="0"/>
    <s v=""/>
    <s v="Non payé"/>
    <n v="0"/>
    <m/>
    <m/>
    <m/>
    <x v="0"/>
  </r>
  <r>
    <x v="18"/>
    <d v="2025-09-12T07:45:00"/>
    <x v="87"/>
    <d v="2025-09-12T07:45:00"/>
    <d v="2025-09-12T12:20:00"/>
    <n v="4.5830000000000002"/>
    <s v="4h 35min"/>
    <n v="0"/>
    <n v="0"/>
    <s v=""/>
    <s v="Non payé"/>
    <n v="0"/>
    <m/>
    <m/>
    <m/>
    <x v="0"/>
  </r>
  <r>
    <x v="19"/>
    <d v="2025-09-12T14:36:00"/>
    <x v="88"/>
    <d v="2025-09-12T14:36:00"/>
    <d v="2025-09-12T15:00:00"/>
    <n v="0.33300000000000002"/>
    <s v="20m"/>
    <n v="0"/>
    <n v="0"/>
    <s v=""/>
    <s v="Non payé"/>
    <n v="0"/>
    <m/>
    <m/>
    <m/>
    <x v="0"/>
  </r>
  <r>
    <x v="2"/>
    <d v="2025-09-12T14:59:00"/>
    <x v="89"/>
    <d v="2025-09-12T14:59:00"/>
    <d v="2025-09-12T15:42:00"/>
    <n v="0.71699999999999997"/>
    <s v="43m"/>
    <n v="0"/>
    <n v="0"/>
    <s v=""/>
    <s v="Non payé"/>
    <n v="0"/>
    <m/>
    <m/>
    <m/>
    <x v="0"/>
  </r>
  <r>
    <x v="10"/>
    <d v="2025-09-12T15:44:00"/>
    <x v="90"/>
    <d v="2025-09-12T15:44:00"/>
    <d v="2025-09-12T15:51:00"/>
    <n v="0.11700000000000001"/>
    <s v="7m"/>
    <n v="0"/>
    <n v="0"/>
    <s v=""/>
    <s v="Non payé"/>
    <n v="0"/>
    <m/>
    <m/>
    <m/>
    <x v="0"/>
  </r>
  <r>
    <x v="19"/>
    <d v="2025-09-12T15:51:00"/>
    <x v="91"/>
    <d v="2025-09-12T15:51:00"/>
    <d v="2025-09-12T16:01:00"/>
    <n v="0.16700000000000001"/>
    <s v="10m"/>
    <n v="0"/>
    <n v="0"/>
    <s v=""/>
    <s v="Non payé"/>
    <n v="0"/>
    <m/>
    <m/>
    <m/>
    <x v="0"/>
  </r>
  <r>
    <x v="4"/>
    <d v="2025-09-12T16:02:00"/>
    <x v="92"/>
    <d v="2025-09-12T16:02:00"/>
    <d v="2025-09-12T17:59:00"/>
    <n v="1.95"/>
    <s v="1h 57min"/>
    <n v="0"/>
    <n v="0"/>
    <s v=""/>
    <s v="Non payé"/>
    <n v="0"/>
    <m/>
    <m/>
    <m/>
    <x v="0"/>
  </r>
  <r>
    <x v="9"/>
    <d v="2025-09-13T10:59:00"/>
    <x v="93"/>
    <d v="2025-09-13T10:59:00"/>
    <d v="2025-09-13T11:54:00"/>
    <n v="0.91700000000000004"/>
    <s v="55m"/>
    <n v="0"/>
    <n v="0"/>
    <s v=""/>
    <s v="Non payé"/>
    <n v="0"/>
    <m/>
    <m/>
    <m/>
    <x v="0"/>
  </r>
  <r>
    <x v="4"/>
    <d v="2025-09-15T08:42:00"/>
    <x v="94"/>
    <d v="2025-09-15T08:42:00"/>
    <d v="2025-09-15T09:16:00"/>
    <n v="0.56699999999999995"/>
    <s v="34m"/>
    <n v="0"/>
    <n v="0"/>
    <s v=""/>
    <s v="Non payé"/>
    <n v="0"/>
    <m/>
    <m/>
    <m/>
    <x v="0"/>
  </r>
  <r>
    <x v="4"/>
    <d v="2025-09-15T10:43:00"/>
    <x v="95"/>
    <d v="2025-09-15T10:43:00"/>
    <d v="2025-09-15T12:05:00"/>
    <n v="1.367"/>
    <s v="1h 22min"/>
    <n v="0"/>
    <n v="0"/>
    <s v=""/>
    <s v="Non payé"/>
    <n v="0"/>
    <m/>
    <m/>
    <m/>
    <x v="0"/>
  </r>
  <r>
    <x v="18"/>
    <d v="2025-09-15T13:13:00"/>
    <x v="96"/>
    <d v="2025-09-15T13:13:00"/>
    <d v="2025-09-15T15:51:00"/>
    <n v="2.633"/>
    <s v="2h 38min"/>
    <n v="0"/>
    <n v="0"/>
    <s v=""/>
    <s v="Non payé"/>
    <n v="0"/>
    <m/>
    <m/>
    <m/>
    <x v="0"/>
  </r>
  <r>
    <x v="4"/>
    <d v="2025-09-15T16:49:00"/>
    <x v="97"/>
    <d v="2025-09-15T16:49:00"/>
    <d v="2025-09-15T19:03:00"/>
    <n v="2.2330000000000001"/>
    <s v="2h 14min"/>
    <n v="0"/>
    <n v="0"/>
    <s v=""/>
    <s v="Non payé"/>
    <n v="0"/>
    <m/>
    <m/>
    <m/>
    <x v="0"/>
  </r>
  <r>
    <x v="2"/>
    <d v="2025-09-16T08:07:00"/>
    <x v="98"/>
    <d v="2025-09-16T08:07:00"/>
    <d v="2025-09-16T08:45:00"/>
    <n v="0.63300000000000001"/>
    <s v="38m"/>
    <n v="0"/>
    <n v="0"/>
    <s v=""/>
    <s v="Non payé"/>
    <n v="0"/>
    <m/>
    <m/>
    <m/>
    <x v="0"/>
  </r>
  <r>
    <x v="4"/>
    <d v="2025-09-16T08:46:00"/>
    <x v="99"/>
    <d v="2025-09-16T08:46:00"/>
    <d v="2025-09-16T10:37:00"/>
    <n v="1.85"/>
    <s v="1h 51min"/>
    <n v="0"/>
    <n v="0"/>
    <s v=""/>
    <s v="Non payé"/>
    <n v="0"/>
    <m/>
    <m/>
    <m/>
    <x v="0"/>
  </r>
  <r>
    <x v="8"/>
    <d v="2025-09-16T11:23:00"/>
    <x v="100"/>
    <d v="2025-09-16T11:23:00"/>
    <d v="2025-09-16T12:02:00"/>
    <n v="0.65"/>
    <s v="39m"/>
    <n v="0"/>
    <n v="0"/>
    <s v=""/>
    <s v="Non payé"/>
    <n v="0"/>
    <m/>
    <m/>
    <m/>
    <x v="0"/>
  </r>
  <r>
    <x v="18"/>
    <d v="2025-09-16T13:11:00"/>
    <x v="101"/>
    <d v="2025-09-16T13:11:00"/>
    <d v="2025-09-16T16:15:00"/>
    <n v="3.0670000000000002"/>
    <s v="3h 4min"/>
    <n v="0"/>
    <n v="0"/>
    <s v=""/>
    <s v="Non payé"/>
    <n v="0"/>
    <m/>
    <m/>
    <m/>
    <x v="0"/>
  </r>
  <r>
    <x v="21"/>
    <d v="2025-09-16T18:40:00"/>
    <x v="102"/>
    <d v="2025-09-16T18:40:00"/>
    <d v="2025-09-16T19:06:00"/>
    <n v="0.433"/>
    <s v="26m"/>
    <n v="0"/>
    <n v="0"/>
    <s v=""/>
    <s v="Non payé"/>
    <n v="0"/>
    <m/>
    <m/>
    <m/>
    <x v="0"/>
  </r>
  <r>
    <x v="2"/>
    <d v="2025-09-16T19:07:00"/>
    <x v="103"/>
    <d v="2025-09-16T19:07:00"/>
    <d v="2025-09-16T19:18:00"/>
    <n v="0.183"/>
    <s v="11m"/>
    <n v="0"/>
    <n v="0"/>
    <s v=""/>
    <s v="Non payé"/>
    <n v="0"/>
    <m/>
    <m/>
    <m/>
    <x v="0"/>
  </r>
  <r>
    <x v="9"/>
    <d v="2025-09-17T06:42:00"/>
    <x v="104"/>
    <d v="2025-09-17T06:42:00"/>
    <d v="2025-09-17T06:48:00"/>
    <n v="0.1"/>
    <s v="6m"/>
    <n v="0"/>
    <n v="0"/>
    <s v=""/>
    <s v="Non payé"/>
    <n v="0"/>
    <m/>
    <m/>
    <m/>
    <x v="0"/>
  </r>
  <r>
    <x v="4"/>
    <d v="2025-09-17T06:48:00"/>
    <x v="105"/>
    <d v="2025-09-17T06:48:00"/>
    <d v="2025-09-17T07:24:00"/>
    <n v="0.6"/>
    <s v="36m"/>
    <n v="0"/>
    <n v="0"/>
    <s v=""/>
    <s v="Non payé"/>
    <n v="0"/>
    <m/>
    <m/>
    <m/>
    <x v="0"/>
  </r>
  <r>
    <x v="18"/>
    <d v="2025-09-17T07:46:00"/>
    <x v="106"/>
    <d v="2025-09-17T07:46:00"/>
    <d v="2025-09-17T10:22:00"/>
    <n v="2.6"/>
    <s v="2h 36min"/>
    <n v="0"/>
    <n v="0"/>
    <s v=""/>
    <s v="Non payé"/>
    <n v="0"/>
    <m/>
    <m/>
    <m/>
    <x v="0"/>
  </r>
  <r>
    <x v="11"/>
    <d v="2025-09-17T10:49:00"/>
    <x v="107"/>
    <d v="2025-09-17T10:49:00"/>
    <d v="2025-09-17T11:54:00"/>
    <n v="1.083"/>
    <s v="1h 5min"/>
    <n v="40"/>
    <n v="0"/>
    <s v=""/>
    <s v="Non payé"/>
    <n v="43.32"/>
    <m/>
    <m/>
    <m/>
    <x v="1"/>
  </r>
  <r>
    <x v="2"/>
    <d v="2025-09-17T13:31:00"/>
    <x v="108"/>
    <d v="2025-09-17T13:31:00"/>
    <d v="2025-09-17T14:36:00"/>
    <n v="1.083"/>
    <s v="1h 5min"/>
    <n v="0"/>
    <n v="0"/>
    <s v=""/>
    <s v="Non payé"/>
    <n v="0"/>
    <m/>
    <m/>
    <m/>
    <x v="0"/>
  </r>
  <r>
    <x v="8"/>
    <d v="2025-09-17T14:38:00"/>
    <x v="109"/>
    <d v="2025-09-17T14:38:00"/>
    <d v="2025-09-17T15:38:00"/>
    <n v="1"/>
    <s v="1h 0min"/>
    <n v="0"/>
    <n v="0"/>
    <s v=""/>
    <s v="Non payé"/>
    <n v="0"/>
    <m/>
    <m/>
    <m/>
    <x v="0"/>
  </r>
  <r>
    <x v="22"/>
    <d v="2025-09-17T16:25:00"/>
    <x v="110"/>
    <d v="2025-09-17T16:25:00"/>
    <d v="2025-09-17T17:41:00"/>
    <n v="1.2669999999999999"/>
    <s v="1h 16min"/>
    <n v="40"/>
    <n v="0"/>
    <s v=""/>
    <s v="Non payé"/>
    <n v="50.679999999999993"/>
    <m/>
    <m/>
    <m/>
    <x v="1"/>
  </r>
  <r>
    <x v="8"/>
    <d v="2025-09-18T06:47:00"/>
    <x v="111"/>
    <d v="2025-09-18T06:47:00"/>
    <d v="2025-09-18T07:27:00"/>
    <n v="0.66700000000000004"/>
    <s v="40m"/>
    <n v="0"/>
    <n v="0"/>
    <s v=""/>
    <s v="Non payé"/>
    <n v="0"/>
    <m/>
    <m/>
    <m/>
    <x v="0"/>
  </r>
  <r>
    <x v="18"/>
    <d v="2025-09-18T07:46:00"/>
    <x v="112"/>
    <d v="2025-09-18T07:46:00"/>
    <d v="2025-09-18T11:49:00"/>
    <n v="4.05"/>
    <s v="4h 3min"/>
    <n v="0"/>
    <n v="0"/>
    <s v=""/>
    <s v="Non payé"/>
    <n v="0"/>
    <m/>
    <m/>
    <m/>
    <x v="0"/>
  </r>
  <r>
    <x v="16"/>
    <d v="2025-09-18T13:17:00"/>
    <x v="113"/>
    <d v="2025-09-18T13:17:00"/>
    <d v="2025-09-18T18:05:00"/>
    <n v="4.8"/>
    <s v="4h 48min"/>
    <n v="0"/>
    <n v="0"/>
    <s v=""/>
    <s v="Non payé"/>
    <n v="0"/>
    <m/>
    <m/>
    <m/>
    <x v="0"/>
  </r>
  <r>
    <x v="16"/>
    <d v="2025-09-19T07:58:00"/>
    <x v="114"/>
    <d v="2025-09-19T07:58:00"/>
    <d v="2025-09-19T11:40:00"/>
    <n v="3.7"/>
    <s v="3h 42min"/>
    <n v="0"/>
    <n v="0"/>
    <s v=""/>
    <s v="Non payé"/>
    <n v="0"/>
    <m/>
    <m/>
    <m/>
    <x v="0"/>
  </r>
  <r>
    <x v="2"/>
    <d v="2025-09-20T13:10:00"/>
    <x v="115"/>
    <d v="2025-09-20T13:10:00"/>
    <d v="2025-09-20T15:40:00"/>
    <n v="2.5"/>
    <s v="2h 30min"/>
    <n v="0"/>
    <n v="0"/>
    <s v=""/>
    <s v="Non payé"/>
    <n v="0"/>
    <m/>
    <m/>
    <m/>
    <x v="0"/>
  </r>
  <r>
    <x v="4"/>
    <d v="2025-09-21T08:35:00"/>
    <x v="116"/>
    <d v="2025-09-21T08:35:00"/>
    <d v="2025-09-21T12:52:00"/>
    <n v="4.2830000000000004"/>
    <s v="4h 17min"/>
    <n v="0"/>
    <n v="0"/>
    <s v=""/>
    <s v="Non payé"/>
    <n v="0"/>
    <m/>
    <m/>
    <m/>
    <x v="0"/>
  </r>
  <r>
    <x v="2"/>
    <d v="2025-09-21T16:52:00"/>
    <x v="117"/>
    <d v="2025-09-21T16:52:00"/>
    <d v="2025-09-21T17:51:00"/>
    <n v="0.93299999999999994"/>
    <s v="56m"/>
    <n v="0"/>
    <n v="0"/>
    <s v=""/>
    <s v="Non payé"/>
    <n v="0"/>
    <m/>
    <m/>
    <m/>
    <x v="0"/>
  </r>
  <r>
    <x v="4"/>
    <d v="2025-09-21T17:50:00"/>
    <x v="118"/>
    <d v="2025-09-21T17:50:00"/>
    <d v="2025-09-21T18:51:00"/>
    <n v="1.0169999999999999"/>
    <s v="1h 1min"/>
    <n v="0"/>
    <n v="0"/>
    <s v=""/>
    <s v="Non payé"/>
    <n v="0"/>
    <m/>
    <m/>
    <m/>
    <x v="0"/>
  </r>
  <r>
    <x v="4"/>
    <d v="2025-09-22T06:33:00"/>
    <x v="119"/>
    <d v="2025-09-22T06:33:00"/>
    <d v="2025-09-22T08:23:00"/>
    <n v="1.583"/>
    <s v="1h 35min"/>
    <n v="0"/>
    <n v="0"/>
    <s v=""/>
    <s v="Non payé"/>
    <n v="0"/>
    <m/>
    <m/>
    <m/>
    <x v="0"/>
  </r>
  <r>
    <x v="2"/>
    <d v="2025-09-22T09:04:00"/>
    <x v="120"/>
    <d v="2025-09-22T09:04:00"/>
    <d v="2025-09-22T09:10:00"/>
    <n v="0.1"/>
    <s v="6m"/>
    <n v="0"/>
    <n v="0"/>
    <s v=""/>
    <s v="Non payé"/>
    <n v="0"/>
    <m/>
    <m/>
    <m/>
    <x v="0"/>
  </r>
  <r>
    <x v="4"/>
    <d v="2025-09-22T09:10:00"/>
    <x v="121"/>
    <d v="2025-09-22T09:10:00"/>
    <d v="2025-09-22T09:52:00"/>
    <n v="0.7"/>
    <s v="42m"/>
    <n v="0"/>
    <n v="0"/>
    <s v="Impression DS"/>
    <s v="Non payé"/>
    <n v="0"/>
    <m/>
    <m/>
    <m/>
    <x v="0"/>
  </r>
  <r>
    <x v="23"/>
    <d v="2025-09-22T09:56:00"/>
    <x v="122"/>
    <d v="2025-09-22T09:56:00"/>
    <d v="2025-09-22T10:07:00"/>
    <n v="0.183"/>
    <s v="11m"/>
    <n v="0"/>
    <n v="0"/>
    <s v=""/>
    <s v="Non payé"/>
    <n v="0"/>
    <m/>
    <m/>
    <m/>
    <x v="0"/>
  </r>
  <r>
    <x v="1"/>
    <d v="2025-09-22T10:07:00"/>
    <x v="123"/>
    <d v="2025-09-22T10:07:00"/>
    <d v="2025-09-22T11:39:00"/>
    <n v="1.5329999999999999"/>
    <s v="1h 32min"/>
    <n v="0"/>
    <n v="0"/>
    <s v=""/>
    <s v="Non payé"/>
    <n v="0"/>
    <m/>
    <m/>
    <m/>
    <x v="0"/>
  </r>
  <r>
    <x v="16"/>
    <d v="2025-09-22T12:24:00"/>
    <x v="124"/>
    <d v="2025-09-22T12:24:00"/>
    <d v="2025-09-22T17:16:00"/>
    <n v="4.867"/>
    <s v="4h 52min"/>
    <n v="0"/>
    <n v="0"/>
    <s v=""/>
    <s v="Non payé"/>
    <n v="0"/>
    <m/>
    <m/>
    <m/>
    <x v="0"/>
  </r>
  <r>
    <x v="16"/>
    <d v="2025-09-23T08:17:00"/>
    <x v="125"/>
    <d v="2025-09-23T08:17:00"/>
    <d v="2025-09-23T12:41:00"/>
    <n v="4.4000000000000004"/>
    <s v="4h 24min"/>
    <n v="0"/>
    <n v="0"/>
    <s v=""/>
    <s v="Non payé"/>
    <n v="0"/>
    <m/>
    <m/>
    <m/>
    <x v="0"/>
  </r>
  <r>
    <x v="2"/>
    <d v="2025-09-24T06:39:00"/>
    <x v="126"/>
    <d v="2025-09-24T06:39:00"/>
    <d v="2025-09-24T07:05:00"/>
    <n v="0.433"/>
    <s v="26m"/>
    <n v="0"/>
    <n v="0"/>
    <s v=""/>
    <s v="Non payé"/>
    <n v="0"/>
    <m/>
    <m/>
    <m/>
    <x v="0"/>
  </r>
  <r>
    <x v="18"/>
    <d v="2025-09-24T07:45:00"/>
    <x v="127"/>
    <d v="2025-09-24T07:45:00"/>
    <d v="2025-09-24T12:02:00"/>
    <n v="4.2830000000000004"/>
    <s v="4h 17min"/>
    <n v="0"/>
    <n v="0"/>
    <s v=""/>
    <s v="Non payé"/>
    <n v="0"/>
    <m/>
    <m/>
    <m/>
    <x v="0"/>
  </r>
  <r>
    <x v="9"/>
    <d v="2025-09-24T14:51:00"/>
    <x v="128"/>
    <d v="2025-09-24T14:51:00"/>
    <d v="2025-09-24T15:21:00"/>
    <n v="0.5"/>
    <s v="30m"/>
    <n v="0"/>
    <n v="0"/>
    <s v=""/>
    <s v="Non payé"/>
    <n v="0"/>
    <m/>
    <m/>
    <m/>
    <x v="0"/>
  </r>
  <r>
    <x v="8"/>
    <d v="2025-09-24T15:32:00"/>
    <x v="129"/>
    <d v="2025-09-24T15:32:00"/>
    <d v="2025-09-24T15:58:00"/>
    <n v="0.433"/>
    <s v="26m"/>
    <n v="0"/>
    <n v="0"/>
    <s v=""/>
    <s v="Non payé"/>
    <n v="0"/>
    <m/>
    <m/>
    <m/>
    <x v="0"/>
  </r>
  <r>
    <x v="22"/>
    <d v="2025-09-24T16:31:00"/>
    <x v="130"/>
    <d v="2025-09-24T16:31:00"/>
    <d v="2025-09-24T17:51:00"/>
    <n v="1.333"/>
    <s v="1h 20min"/>
    <n v="40"/>
    <n v="0"/>
    <s v=""/>
    <s v="Non payé"/>
    <n v="53.32"/>
    <m/>
    <m/>
    <m/>
    <x v="1"/>
  </r>
  <r>
    <x v="8"/>
    <d v="2025-09-25T06:46:00"/>
    <x v="131"/>
    <d v="2025-09-25T06:46:00"/>
    <d v="2025-09-25T07:12:00"/>
    <n v="0.433"/>
    <s v="26m"/>
    <n v="0"/>
    <n v="0"/>
    <s v=""/>
    <s v="Non payé"/>
    <n v="0"/>
    <m/>
    <m/>
    <m/>
    <x v="0"/>
  </r>
  <r>
    <x v="18"/>
    <d v="2025-09-25T07:44:00"/>
    <x v="132"/>
    <d v="2025-09-25T07:44:00"/>
    <d v="2025-09-25T12:16:00"/>
    <n v="4.5330000000000004"/>
    <s v="4h 32min"/>
    <n v="0"/>
    <n v="0"/>
    <s v=""/>
    <s v="Non payé"/>
    <n v="0"/>
    <m/>
    <m/>
    <m/>
    <x v="0"/>
  </r>
  <r>
    <x v="2"/>
    <d v="2025-09-25T15:05:00"/>
    <x v="133"/>
    <d v="2025-09-25T15:05:00"/>
    <d v="2025-09-25T15:30:00"/>
    <n v="0.41699999999999998"/>
    <s v="25m"/>
    <n v="0"/>
    <n v="0"/>
    <s v=""/>
    <s v="Non payé"/>
    <n v="0"/>
    <m/>
    <m/>
    <m/>
    <x v="0"/>
  </r>
  <r>
    <x v="20"/>
    <d v="2025-09-25T16:31:00"/>
    <x v="134"/>
    <d v="2025-09-25T16:31:00"/>
    <d v="2025-09-25T17:32:00"/>
    <n v="1.0169999999999999"/>
    <s v="1h 1min"/>
    <n v="35"/>
    <n v="0"/>
    <s v=""/>
    <s v="Non payé"/>
    <n v="35.594999999999999"/>
    <m/>
    <m/>
    <m/>
    <x v="1"/>
  </r>
  <r>
    <x v="18"/>
    <d v="2025-09-25T18:07:00"/>
    <x v="135"/>
    <d v="2025-09-25T18:07:00"/>
    <d v="2025-09-25T19:09:00"/>
    <n v="1.0329999999999999"/>
    <s v="1h 2min"/>
    <n v="0"/>
    <n v="0"/>
    <s v=""/>
    <s v="Non payé"/>
    <n v="0"/>
    <m/>
    <m/>
    <m/>
    <x v="0"/>
  </r>
  <r>
    <x v="18"/>
    <d v="2025-09-26T07:48:00"/>
    <x v="136"/>
    <d v="2025-09-26T07:48:00"/>
    <d v="2025-09-26T12:21:00"/>
    <n v="4.55"/>
    <s v="4h 33min"/>
    <n v="0"/>
    <n v="0"/>
    <s v=""/>
    <s v="Non payé"/>
    <n v="0"/>
    <m/>
    <m/>
    <m/>
    <x v="0"/>
  </r>
  <r>
    <x v="17"/>
    <d v="2025-09-26T13:02:00"/>
    <x v="137"/>
    <d v="2025-09-26T13:02:00"/>
    <d v="2025-09-26T13:42:00"/>
    <n v="0.66700000000000004"/>
    <s v="40m"/>
    <n v="0"/>
    <n v="0"/>
    <s v=""/>
    <s v="Non payé"/>
    <n v="0"/>
    <m/>
    <m/>
    <m/>
    <x v="0"/>
  </r>
  <r>
    <x v="13"/>
    <d v="2025-09-26T14:10:00"/>
    <x v="138"/>
    <d v="2025-09-26T14:10:00"/>
    <d v="2025-09-26T14:39:00"/>
    <n v="0.48299999999999998"/>
    <s v="29m"/>
    <n v="0"/>
    <n v="0"/>
    <s v=""/>
    <s v="Non payé"/>
    <n v="0"/>
    <m/>
    <m/>
    <m/>
    <x v="0"/>
  </r>
  <r>
    <x v="14"/>
    <d v="2025-09-26T14:49:00"/>
    <x v="139"/>
    <d v="2025-09-26T14:49:00"/>
    <d v="2025-09-26T15:19:00"/>
    <n v="0.5"/>
    <s v="30m"/>
    <n v="0"/>
    <n v="0"/>
    <s v=""/>
    <s v="Non payé"/>
    <n v="0"/>
    <m/>
    <m/>
    <m/>
    <x v="0"/>
  </r>
  <r>
    <x v="18"/>
    <d v="2025-10-01T07:51:00"/>
    <x v="140"/>
    <d v="2025-10-01T07:51:00"/>
    <d v="2025-10-01T10:20:00"/>
    <n v="2.4830000000000001"/>
    <s v="2h 29min"/>
    <n v="0"/>
    <n v="0"/>
    <s v=""/>
    <s v="Non payé"/>
    <n v="0"/>
    <m/>
    <m/>
    <m/>
    <x v="0"/>
  </r>
  <r>
    <x v="2"/>
    <d v="2025-10-01T10:59:00"/>
    <x v="141"/>
    <d v="2025-10-01T10:59:00"/>
    <d v="2025-10-01T11:42:00"/>
    <n v="0.71699999999999997"/>
    <s v="43m"/>
    <n v="0"/>
    <n v="0"/>
    <s v=""/>
    <s v="Non payé"/>
    <n v="0"/>
    <m/>
    <m/>
    <m/>
    <x v="0"/>
  </r>
  <r>
    <x v="4"/>
    <d v="2025-10-01T11:42:00"/>
    <x v="142"/>
    <d v="2025-10-01T11:42:00"/>
    <d v="2025-10-01T12:50:00"/>
    <n v="1.133"/>
    <s v="1h 8min"/>
    <n v="0"/>
    <n v="0"/>
    <s v=""/>
    <s v="Non payé"/>
    <n v="0"/>
    <m/>
    <m/>
    <m/>
    <x v="0"/>
  </r>
  <r>
    <x v="4"/>
    <d v="2025-10-01T13:21:00"/>
    <x v="143"/>
    <d v="2025-10-01T13:21:00"/>
    <d v="2025-10-01T14:33:00"/>
    <n v="1.2"/>
    <s v="1h 12min"/>
    <n v="0"/>
    <n v="0"/>
    <s v=""/>
    <s v="Non payé"/>
    <n v="0"/>
    <m/>
    <m/>
    <m/>
    <x v="0"/>
  </r>
  <r>
    <x v="24"/>
    <d v="2025-10-01T14:34:00"/>
    <x v="144"/>
    <d v="2025-10-01T14:34:00"/>
    <d v="2025-10-01T14:53:00"/>
    <n v="0.317"/>
    <s v="19m"/>
    <n v="0"/>
    <n v="0"/>
    <s v=""/>
    <s v="Non payé"/>
    <n v="0"/>
    <m/>
    <m/>
    <m/>
    <x v="0"/>
  </r>
  <r>
    <x v="10"/>
    <d v="2025-10-01T14:54:00"/>
    <x v="145"/>
    <d v="2025-10-01T14:54:00"/>
    <d v="2025-10-01T15:01:00"/>
    <n v="0.11700000000000001"/>
    <s v="7m"/>
    <n v="0"/>
    <n v="0"/>
    <s v=""/>
    <s v="Non payé"/>
    <n v="0"/>
    <m/>
    <m/>
    <m/>
    <x v="0"/>
  </r>
  <r>
    <x v="9"/>
    <d v="2025-10-01T15:01:00"/>
    <x v="146"/>
    <d v="2025-10-01T15:01:00"/>
    <d v="2025-10-01T15:25:00"/>
    <n v="0.4"/>
    <s v="24m"/>
    <n v="0"/>
    <n v="0"/>
    <s v=""/>
    <s v="Non payé"/>
    <n v="0"/>
    <m/>
    <m/>
    <m/>
    <x v="0"/>
  </r>
  <r>
    <x v="15"/>
    <d v="2025-10-01T15:24:00"/>
    <x v="147"/>
    <d v="2025-10-01T15:24:00"/>
    <d v="2025-10-01T15:29:00"/>
    <n v="8.3000000000000004E-2"/>
    <s v="5m"/>
    <n v="0"/>
    <n v="0"/>
    <s v=""/>
    <s v="Non payé"/>
    <n v="0"/>
    <m/>
    <m/>
    <m/>
    <x v="0"/>
  </r>
  <r>
    <x v="8"/>
    <d v="2025-10-01T15:29:00"/>
    <x v="148"/>
    <d v="2025-10-01T15:29:00"/>
    <d v="2025-10-01T15:41:00"/>
    <n v="0.2"/>
    <s v="12m"/>
    <n v="0"/>
    <n v="0"/>
    <s v=""/>
    <s v="Non payé"/>
    <n v="0"/>
    <m/>
    <m/>
    <m/>
    <x v="0"/>
  </r>
  <r>
    <x v="22"/>
    <d v="2025-10-01T16:14:00"/>
    <x v="149"/>
    <d v="2025-10-01T16:14:00"/>
    <d v="2025-10-01T17:43:00"/>
    <n v="1.4830000000000001"/>
    <s v="1h 29min"/>
    <n v="40"/>
    <n v="0"/>
    <s v=""/>
    <s v="Non payé"/>
    <n v="59.320000000000007"/>
    <m/>
    <m/>
    <m/>
    <x v="1"/>
  </r>
  <r>
    <x v="8"/>
    <d v="2025-10-02T06:11:00"/>
    <x v="150"/>
    <d v="2025-10-02T06:11:00"/>
    <d v="2025-10-02T07:15:00"/>
    <n v="1.0669999999999999"/>
    <s v="1h 4min"/>
    <n v="0"/>
    <n v="0"/>
    <s v=""/>
    <s v="Non payé"/>
    <n v="0"/>
    <m/>
    <m/>
    <m/>
    <x v="0"/>
  </r>
  <r>
    <x v="18"/>
    <d v="2025-10-02T07:53:00"/>
    <x v="151"/>
    <d v="2025-10-02T07:53:00"/>
    <d v="2025-10-02T12:24:00"/>
    <n v="4.5170000000000003"/>
    <s v="4h 31min"/>
    <n v="0"/>
    <n v="0"/>
    <s v=""/>
    <s v="Non payé"/>
    <n v="0"/>
    <m/>
    <m/>
    <m/>
    <x v="0"/>
  </r>
  <r>
    <x v="9"/>
    <d v="2025-10-02T13:33:00"/>
    <x v="152"/>
    <d v="2025-10-02T13:33:00"/>
    <d v="2025-10-02T13:50:00"/>
    <n v="0.28299999999999997"/>
    <s v="17m"/>
    <n v="0"/>
    <n v="0"/>
    <s v=""/>
    <s v="Non payé"/>
    <n v="0"/>
    <m/>
    <m/>
    <m/>
    <x v="0"/>
  </r>
  <r>
    <x v="20"/>
    <d v="2025-10-02T16:32:00"/>
    <x v="153"/>
    <d v="2025-10-02T16:32:00"/>
    <d v="2025-10-02T17:49:00"/>
    <n v="1.2829999999999999"/>
    <s v="1h 17min"/>
    <n v="35"/>
    <n v="0"/>
    <s v=""/>
    <s v="Non payé"/>
    <n v="44.904999999999994"/>
    <m/>
    <m/>
    <m/>
    <x v="1"/>
  </r>
  <r>
    <x v="24"/>
    <d v="2025-10-02T18:00:00"/>
    <x v="154"/>
    <d v="2025-10-02T18:00:00"/>
    <d v="2025-10-02T21:05:00"/>
    <n v="3.0830000000000002"/>
    <s v="3h 5min"/>
    <n v="0"/>
    <n v="0"/>
    <s v=""/>
    <s v="Non payé"/>
    <n v="0"/>
    <m/>
    <m/>
    <m/>
    <x v="0"/>
  </r>
  <r>
    <x v="15"/>
    <d v="2025-10-03T07:51:00"/>
    <x v="155"/>
    <d v="2025-10-03T07:51:00"/>
    <d v="2025-10-03T08:06:00"/>
    <n v="0.25"/>
    <s v="15m"/>
    <n v="0"/>
    <n v="0"/>
    <s v=""/>
    <s v="Non payé"/>
    <n v="0"/>
    <m/>
    <m/>
    <m/>
    <x v="0"/>
  </r>
  <r>
    <x v="2"/>
    <d v="2025-10-03T08:05:00"/>
    <x v="156"/>
    <d v="2025-10-03T08:05:00"/>
    <d v="2025-10-03T08:17:00"/>
    <n v="0.2"/>
    <s v="12m"/>
    <n v="0"/>
    <n v="0"/>
    <s v=""/>
    <s v="Non payé"/>
    <n v="0"/>
    <m/>
    <m/>
    <m/>
    <x v="0"/>
  </r>
  <r>
    <x v="4"/>
    <d v="2025-10-03T08:17:00"/>
    <x v="157"/>
    <d v="2025-10-03T08:17:00"/>
    <d v="2025-10-03T08:27:00"/>
    <n v="0.16700000000000001"/>
    <s v="10m"/>
    <n v="0"/>
    <n v="0"/>
    <s v=""/>
    <s v="Non payé"/>
    <n v="0"/>
    <m/>
    <m/>
    <m/>
    <x v="0"/>
  </r>
  <r>
    <x v="2"/>
    <d v="2025-10-03T08:28:00"/>
    <x v="158"/>
    <d v="2025-10-03T08:28:00"/>
    <d v="2025-10-03T08:40:00"/>
    <n v="0.2"/>
    <s v="12m"/>
    <n v="0"/>
    <n v="0"/>
    <s v=""/>
    <s v="Non payé"/>
    <n v="0"/>
    <m/>
    <m/>
    <m/>
    <x v="0"/>
  </r>
  <r>
    <x v="4"/>
    <d v="2025-10-03T08:41:00"/>
    <x v="159"/>
    <d v="2025-10-03T08:41:00"/>
    <d v="2025-10-03T09:59:00"/>
    <n v="1.3"/>
    <s v="1h 18min"/>
    <n v="0"/>
    <n v="0"/>
    <s v=""/>
    <s v="Non payé"/>
    <n v="0"/>
    <m/>
    <m/>
    <m/>
    <x v="0"/>
  </r>
  <r>
    <x v="18"/>
    <d v="2025-10-03T10:19:00"/>
    <x v="160"/>
    <d v="2025-10-03T10:19:00"/>
    <d v="2025-10-03T12:20:00"/>
    <n v="2.0169999999999999"/>
    <s v="2h 1min"/>
    <n v="0"/>
    <n v="0"/>
    <s v=""/>
    <s v="Non payé"/>
    <n v="0"/>
    <m/>
    <m/>
    <m/>
    <x v="0"/>
  </r>
  <r>
    <x v="2"/>
    <d v="2025-10-03T12:23:00"/>
    <x v="161"/>
    <d v="2025-10-03T12:23:00"/>
    <d v="2025-10-03T12:41:00"/>
    <n v="0.3"/>
    <s v="18m"/>
    <n v="0"/>
    <n v="0"/>
    <s v=""/>
    <s v="Non payé"/>
    <n v="0"/>
    <m/>
    <m/>
    <m/>
    <x v="0"/>
  </r>
  <r>
    <x v="3"/>
    <d v="2025-10-04T17:39:00"/>
    <x v="162"/>
    <d v="2025-10-04T17:39:00"/>
    <d v="2025-10-04T18:39:00"/>
    <n v="1"/>
    <s v="1h 0min"/>
    <n v="0"/>
    <n v="0"/>
    <s v=""/>
    <s v="Non payé"/>
    <n v="0"/>
    <m/>
    <m/>
    <m/>
    <x v="0"/>
  </r>
  <r>
    <x v="3"/>
    <d v="2025-10-04T18:41:00"/>
    <x v="163"/>
    <d v="2025-10-04T18:41:00"/>
    <d v="2025-10-04T18:56:00"/>
    <n v="0.25"/>
    <s v="15m"/>
    <n v="0"/>
    <n v="0"/>
    <s v=""/>
    <s v="Non payé"/>
    <n v="0"/>
    <m/>
    <m/>
    <m/>
    <x v="0"/>
  </r>
  <r>
    <x v="21"/>
    <d v="2025-10-05T07:05:00"/>
    <x v="164"/>
    <d v="2025-10-05T07:05:00"/>
    <d v="2025-10-05T08:51:00"/>
    <n v="1.7669999999999999"/>
    <s v="1h 46min"/>
    <n v="0"/>
    <n v="0"/>
    <s v=""/>
    <s v="Non payé"/>
    <n v="0"/>
    <m/>
    <m/>
    <m/>
    <x v="0"/>
  </r>
  <r>
    <x v="2"/>
    <d v="2025-10-05T08:51:00"/>
    <x v="165"/>
    <d v="2025-10-05T08:51:00"/>
    <d v="2025-10-05T11:33:00"/>
    <n v="2.7"/>
    <s v="2h 42min"/>
    <n v="0"/>
    <n v="0"/>
    <s v=""/>
    <s v="Non payé"/>
    <n v="0"/>
    <m/>
    <m/>
    <m/>
    <x v="0"/>
  </r>
  <r>
    <x v="13"/>
    <d v="2025-10-06T08:16:00"/>
    <x v="166"/>
    <d v="2025-10-06T08:16:00"/>
    <d v="2025-10-06T08:21:00"/>
    <n v="8.3000000000000004E-2"/>
    <s v="5m"/>
    <n v="0"/>
    <n v="0"/>
    <s v=""/>
    <s v="Non payé"/>
    <n v="0"/>
    <m/>
    <m/>
    <m/>
    <x v="0"/>
  </r>
  <r>
    <x v="3"/>
    <d v="2025-10-06T08:21:00"/>
    <x v="167"/>
    <d v="2025-10-06T08:21:00"/>
    <d v="2025-10-06T09:06:00"/>
    <n v="0.75"/>
    <s v="45m"/>
    <n v="0"/>
    <n v="0"/>
    <s v=""/>
    <s v="Non payé"/>
    <n v="0"/>
    <m/>
    <m/>
    <m/>
    <x v="0"/>
  </r>
  <r>
    <x v="2"/>
    <d v="2025-10-06T09:06:00"/>
    <x v="168"/>
    <d v="2025-10-06T09:06:00"/>
    <d v="2025-10-06T09:28:00"/>
    <n v="0.36699999999999999"/>
    <s v="22m"/>
    <n v="0"/>
    <n v="0"/>
    <s v=""/>
    <s v="Non payé"/>
    <n v="0"/>
    <m/>
    <m/>
    <m/>
    <x v="0"/>
  </r>
  <r>
    <x v="21"/>
    <d v="2025-10-06T11:01:00"/>
    <x v="169"/>
    <d v="2025-10-06T11:01:00"/>
    <d v="2025-10-06T11:08:00"/>
    <n v="0.11700000000000001"/>
    <s v="7m"/>
    <n v="0"/>
    <n v="0"/>
    <s v=""/>
    <s v="Non payé"/>
    <n v="0"/>
    <m/>
    <m/>
    <m/>
    <x v="0"/>
  </r>
  <r>
    <x v="15"/>
    <d v="2025-10-06T11:07:00"/>
    <x v="170"/>
    <d v="2025-10-06T11:07:00"/>
    <d v="2025-10-06T11:22:00"/>
    <n v="0.25"/>
    <s v="15m"/>
    <n v="0"/>
    <n v="0"/>
    <s v=""/>
    <s v="Non payé"/>
    <n v="0"/>
    <m/>
    <m/>
    <m/>
    <x v="0"/>
  </r>
  <r>
    <x v="9"/>
    <d v="2025-10-06T11:22:00"/>
    <x v="171"/>
    <d v="2025-10-06T11:22:00"/>
    <d v="2025-10-06T11:28:00"/>
    <n v="0.1"/>
    <s v="6m"/>
    <n v="0"/>
    <n v="0"/>
    <s v=""/>
    <s v="Non payé"/>
    <n v="0"/>
    <m/>
    <m/>
    <m/>
    <x v="0"/>
  </r>
  <r>
    <x v="2"/>
    <d v="2025-10-06T11:27:00"/>
    <x v="172"/>
    <d v="2025-10-06T11:27:00"/>
    <d v="2025-10-06T12:37:00"/>
    <n v="1.167"/>
    <s v="1h 10min"/>
    <n v="0"/>
    <n v="0"/>
    <s v="Config O365 pro"/>
    <s v="Non payé"/>
    <n v="0"/>
    <m/>
    <m/>
    <m/>
    <x v="0"/>
  </r>
  <r>
    <x v="3"/>
    <d v="2025-10-06T13:57:00"/>
    <x v="173"/>
    <d v="2025-10-06T13:57:00"/>
    <d v="2025-10-06T14:18:00"/>
    <n v="0.35"/>
    <s v="21m"/>
    <n v="0"/>
    <n v="0"/>
    <s v=""/>
    <s v="Non payé"/>
    <n v="0"/>
    <m/>
    <m/>
    <m/>
    <x v="0"/>
  </r>
  <r>
    <x v="25"/>
    <d v="2025-10-06T14:19:00"/>
    <x v="174"/>
    <d v="2025-10-06T14:19:00"/>
    <d v="2025-10-06T14:32:00"/>
    <n v="0.217"/>
    <s v="13m"/>
    <n v="0"/>
    <n v="0"/>
    <s v=""/>
    <s v="Non payé"/>
    <n v="0"/>
    <m/>
    <m/>
    <m/>
    <x v="0"/>
  </r>
  <r>
    <x v="2"/>
    <d v="2025-10-06T14:31:00"/>
    <x v="175"/>
    <d v="2025-10-06T14:31:00"/>
    <d v="2025-10-06T14:51:00"/>
    <n v="0.33300000000000002"/>
    <s v="20m"/>
    <n v="0"/>
    <n v="0"/>
    <s v=""/>
    <s v="Non payé"/>
    <n v="0"/>
    <m/>
    <m/>
    <m/>
    <x v="0"/>
  </r>
  <r>
    <x v="4"/>
    <d v="2025-10-06T14:52:00"/>
    <x v="176"/>
    <d v="2025-10-06T14:52:00"/>
    <d v="2025-10-06T17:36:00"/>
    <n v="2.7330000000000001"/>
    <s v="2h 44min"/>
    <n v="0"/>
    <n v="0"/>
    <s v=""/>
    <s v="Non payé"/>
    <n v="0"/>
    <m/>
    <m/>
    <m/>
    <x v="0"/>
  </r>
  <r>
    <x v="2"/>
    <d v="2025-10-06T17:38:00"/>
    <x v="177"/>
    <d v="2025-10-06T17:38:00"/>
    <d v="2025-10-06T17:57:00"/>
    <n v="0.317"/>
    <s v="19m"/>
    <n v="0"/>
    <n v="0"/>
    <s v=""/>
    <s v="Non payé"/>
    <n v="0"/>
    <m/>
    <m/>
    <m/>
    <x v="0"/>
  </r>
  <r>
    <x v="4"/>
    <d v="2025-10-07T08:37:00"/>
    <x v="178"/>
    <d v="2025-10-07T08:37:00"/>
    <d v="2025-10-07T09:43:00"/>
    <n v="1.1000000000000001"/>
    <s v="1h 6min"/>
    <n v="0"/>
    <n v="0"/>
    <s v=""/>
    <s v="Non payé"/>
    <n v="0"/>
    <m/>
    <m/>
    <m/>
    <x v="0"/>
  </r>
  <r>
    <x v="18"/>
    <d v="2025-10-07T10:08:00"/>
    <x v="179"/>
    <d v="2025-10-07T10:08:00"/>
    <d v="2025-10-07T15:57:00"/>
    <n v="5.8170000000000002"/>
    <s v="5h 49min"/>
    <n v="0"/>
    <n v="0"/>
    <s v=""/>
    <s v="Non payé"/>
    <n v="0"/>
    <m/>
    <m/>
    <m/>
    <x v="0"/>
  </r>
  <r>
    <x v="4"/>
    <d v="2025-10-07T17:13:00"/>
    <x v="180"/>
    <d v="2025-10-07T17:13:00"/>
    <d v="2025-10-07T19:54:00"/>
    <n v="2.6829999999999998"/>
    <s v="2h 41min"/>
    <n v="0"/>
    <n v="0"/>
    <s v=""/>
    <s v="Non payé"/>
    <n v="0"/>
    <m/>
    <m/>
    <m/>
    <x v="0"/>
  </r>
  <r>
    <x v="18"/>
    <d v="2025-10-08T07:51:00"/>
    <x v="181"/>
    <d v="2025-10-08T07:51:00"/>
    <d v="2025-10-08T10:08:00"/>
    <n v="2.2829999999999999"/>
    <s v="2h 17min"/>
    <n v="0"/>
    <n v="0"/>
    <s v=""/>
    <s v="Non payé"/>
    <n v="0"/>
    <m/>
    <m/>
    <m/>
    <x v="0"/>
  </r>
  <r>
    <x v="11"/>
    <d v="2025-10-08T10:35:00"/>
    <x v="182"/>
    <d v="2025-10-08T10:35:00"/>
    <d v="2025-10-08T12:24:00"/>
    <n v="1.8169999999999999"/>
    <s v="1h 49min"/>
    <n v="40"/>
    <n v="0"/>
    <s v=""/>
    <s v="Non payé"/>
    <n v="72.679999999999993"/>
    <m/>
    <m/>
    <m/>
    <x v="1"/>
  </r>
  <r>
    <x v="8"/>
    <d v="2025-10-08T15:00:00"/>
    <x v="183"/>
    <d v="2025-10-08T15:00:00"/>
    <d v="2025-10-08T15:32:00"/>
    <n v="0.53300000000000003"/>
    <s v="32m"/>
    <n v="0"/>
    <n v="0"/>
    <s v=""/>
    <s v="Non payé"/>
    <n v="0"/>
    <m/>
    <m/>
    <m/>
    <x v="0"/>
  </r>
  <r>
    <x v="9"/>
    <d v="2025-10-08T15:38:00"/>
    <x v="184"/>
    <d v="2025-10-08T15:38:00"/>
    <d v="2025-10-08T15:50:00"/>
    <n v="0.2"/>
    <s v="12m"/>
    <n v="0"/>
    <n v="0"/>
    <s v=""/>
    <s v="Non payé"/>
    <n v="0"/>
    <m/>
    <m/>
    <m/>
    <x v="0"/>
  </r>
  <r>
    <x v="22"/>
    <d v="2025-10-08T16:15:00"/>
    <x v="185"/>
    <d v="2025-10-08T16:15:00"/>
    <d v="2025-10-08T17:50:00"/>
    <n v="1.583"/>
    <s v="1h 35min"/>
    <n v="40"/>
    <n v="0"/>
    <s v=""/>
    <s v="Non payé"/>
    <n v="63.32"/>
    <m/>
    <m/>
    <m/>
    <x v="1"/>
  </r>
  <r>
    <x v="10"/>
    <d v="2025-10-08T19:56:00"/>
    <x v="186"/>
    <d v="2025-10-08T19:56:00"/>
    <d v="2025-10-08T20:09:00"/>
    <n v="0.217"/>
    <s v="13m"/>
    <n v="0"/>
    <n v="0"/>
    <s v=""/>
    <s v="Non payé"/>
    <n v="0"/>
    <m/>
    <m/>
    <m/>
    <x v="0"/>
  </r>
  <r>
    <x v="8"/>
    <d v="2025-10-09T06:51:00"/>
    <x v="187"/>
    <d v="2025-10-09T06:51:00"/>
    <d v="2025-10-09T07:30:00"/>
    <n v="0.65"/>
    <s v="39m"/>
    <n v="0"/>
    <n v="0"/>
    <s v=""/>
    <s v="Non payé"/>
    <n v="0"/>
    <m/>
    <m/>
    <m/>
    <x v="0"/>
  </r>
  <r>
    <x v="18"/>
    <d v="2025-10-09T07:57:00"/>
    <x v="188"/>
    <d v="2025-10-09T07:57:00"/>
    <d v="2025-10-09T12:14:00"/>
    <n v="4.2830000000000004"/>
    <s v="4h 17min"/>
    <n v="0"/>
    <n v="0"/>
    <s v=""/>
    <s v="Non payé"/>
    <n v="0"/>
    <m/>
    <m/>
    <m/>
    <x v="0"/>
  </r>
  <r>
    <x v="2"/>
    <d v="2025-10-09T14:17:00"/>
    <x v="189"/>
    <d v="2025-10-09T14:17:00"/>
    <d v="2025-10-09T15:00:00"/>
    <n v="0.71699999999999997"/>
    <s v="43m"/>
    <n v="0"/>
    <n v="0"/>
    <s v=""/>
    <s v="Non payé"/>
    <n v="0"/>
    <m/>
    <m/>
    <m/>
    <x v="0"/>
  </r>
  <r>
    <x v="9"/>
    <d v="2025-10-09T15:04:00"/>
    <x v="190"/>
    <d v="2025-10-09T15:04:00"/>
    <d v="2025-10-09T15:14:00"/>
    <n v="0.16700000000000001"/>
    <s v="10m"/>
    <n v="0"/>
    <n v="0"/>
    <s v=""/>
    <s v="Non payé"/>
    <n v="0"/>
    <m/>
    <m/>
    <m/>
    <x v="0"/>
  </r>
  <r>
    <x v="4"/>
    <d v="2025-10-09T15:14:00"/>
    <x v="191"/>
    <d v="2025-10-09T15:14:00"/>
    <d v="2025-10-09T15:57:00"/>
    <n v="0.71699999999999997"/>
    <s v="43m"/>
    <n v="0"/>
    <n v="0"/>
    <s v=""/>
    <s v="Non payé"/>
    <n v="0"/>
    <m/>
    <m/>
    <m/>
    <x v="0"/>
  </r>
  <r>
    <x v="20"/>
    <d v="2025-10-09T16:27:00"/>
    <x v="192"/>
    <d v="2025-10-09T16:27:00"/>
    <d v="2025-10-09T17:30:00"/>
    <n v="1.05"/>
    <s v="1h 3min"/>
    <n v="35"/>
    <n v="0"/>
    <s v=""/>
    <s v="Non payé"/>
    <n v="36.75"/>
    <m/>
    <m/>
    <m/>
    <x v="1"/>
  </r>
  <r>
    <x v="9"/>
    <d v="2025-10-09T17:36:00"/>
    <x v="193"/>
    <d v="2025-10-09T17:36:00"/>
    <d v="2025-10-09T17:58:00"/>
    <n v="0.36699999999999999"/>
    <s v="22m"/>
    <n v="0"/>
    <n v="0"/>
    <s v=""/>
    <s v="Non payé"/>
    <n v="0"/>
    <m/>
    <m/>
    <m/>
    <x v="0"/>
  </r>
  <r>
    <x v="4"/>
    <d v="2025-10-10T06:52:00"/>
    <x v="194"/>
    <d v="2025-10-10T06:52:00"/>
    <d v="2025-10-10T07:28:00"/>
    <n v="0.6"/>
    <s v="36m"/>
    <n v="0"/>
    <n v="0"/>
    <s v=""/>
    <s v="Non payé"/>
    <n v="0"/>
    <m/>
    <m/>
    <m/>
    <x v="0"/>
  </r>
  <r>
    <x v="18"/>
    <d v="2025-10-10T07:56:00"/>
    <x v="195"/>
    <d v="2025-10-10T07:56:00"/>
    <d v="2025-10-10T10:52:00"/>
    <n v="2.9329999999999998"/>
    <s v="2h 56min"/>
    <n v="0"/>
    <n v="0"/>
    <s v=""/>
    <s v="Non payé"/>
    <n v="0"/>
    <m/>
    <m/>
    <m/>
    <x v="0"/>
  </r>
  <r>
    <x v="21"/>
    <d v="2025-10-10T13:50:00"/>
    <x v="196"/>
    <d v="2025-10-10T13:50:00"/>
    <d v="2025-10-10T14:15:00"/>
    <n v="0.41699999999999998"/>
    <s v="25m"/>
    <n v="0"/>
    <n v="0"/>
    <s v=""/>
    <s v="Non payé"/>
    <n v="0"/>
    <m/>
    <m/>
    <m/>
    <x v="0"/>
  </r>
  <r>
    <x v="2"/>
    <d v="2025-10-10T14:22:00"/>
    <x v="197"/>
    <d v="2025-10-10T14:22:00"/>
    <d v="2025-10-10T15:30:00"/>
    <n v="1.133"/>
    <s v="1h 8min"/>
    <n v="0"/>
    <n v="0"/>
    <s v=""/>
    <s v="Non payé"/>
    <n v="0"/>
    <m/>
    <m/>
    <m/>
    <x v="0"/>
  </r>
  <r>
    <x v="12"/>
    <d v="2025-10-10T15:29:00"/>
    <x v="198"/>
    <d v="2025-10-10T15:29:00"/>
    <d v="2025-10-10T16:20:00"/>
    <n v="0.85"/>
    <s v="51m"/>
    <n v="0"/>
    <n v="0"/>
    <s v="St Félix Cordées de la Réussite"/>
    <s v="Non payé"/>
    <n v="0"/>
    <m/>
    <m/>
    <m/>
    <x v="0"/>
  </r>
  <r>
    <x v="2"/>
    <d v="2025-10-10T16:26:00"/>
    <x v="199"/>
    <d v="2025-10-10T16:26:00"/>
    <d v="2025-10-10T19:01:00"/>
    <n v="2.5830000000000002"/>
    <s v="2h 35min"/>
    <n v="0"/>
    <n v="0"/>
    <s v=""/>
    <s v="Non payé"/>
    <n v="0"/>
    <m/>
    <m/>
    <m/>
    <x v="0"/>
  </r>
  <r>
    <x v="25"/>
    <d v="2025-10-12T09:03:00"/>
    <x v="200"/>
    <d v="2025-10-12T09:03:00"/>
    <d v="2025-10-12T09:20:00"/>
    <n v="0.28299999999999997"/>
    <s v="17m"/>
    <n v="0"/>
    <n v="0"/>
    <s v=""/>
    <s v="Non payé"/>
    <n v="0"/>
    <m/>
    <m/>
    <m/>
    <x v="0"/>
  </r>
  <r>
    <x v="26"/>
    <d v="2025-10-13T08:06:00"/>
    <x v="201"/>
    <d v="2025-10-13T08:06:00"/>
    <d v="2025-10-13T09:11:00"/>
    <n v="1.083"/>
    <s v="1h 5min"/>
    <n v="0"/>
    <n v="0"/>
    <s v="2 copies"/>
    <s v="Non payé"/>
    <n v="0"/>
    <m/>
    <m/>
    <m/>
    <x v="0"/>
  </r>
  <r>
    <x v="26"/>
    <d v="2025-10-13T11:01:00"/>
    <x v="202"/>
    <d v="2025-10-13T11:01:00"/>
    <d v="2025-10-13T12:55:00"/>
    <n v="1.9"/>
    <s v="1h 54min"/>
    <n v="0"/>
    <n v="0"/>
    <s v="9 copies"/>
    <s v="Non payé"/>
    <n v="0"/>
    <m/>
    <m/>
    <m/>
    <x v="0"/>
  </r>
  <r>
    <x v="26"/>
    <d v="2025-10-13T14:04:00"/>
    <x v="203"/>
    <d v="2025-10-13T14:04:00"/>
    <d v="2025-10-13T15:14:00"/>
    <n v="1.167"/>
    <s v="1h 10min"/>
    <n v="0"/>
    <n v="0"/>
    <s v="5 copies"/>
    <s v="Non payé"/>
    <n v="0"/>
    <m/>
    <m/>
    <m/>
    <x v="0"/>
  </r>
  <r>
    <x v="13"/>
    <d v="2025-10-13T15:15:00"/>
    <x v="204"/>
    <d v="2025-10-13T15:15:00"/>
    <d v="2025-10-13T15:20:00"/>
    <n v="8.3000000000000004E-2"/>
    <s v="5m"/>
    <n v="0"/>
    <n v="0"/>
    <s v=""/>
    <s v="Non payé"/>
    <n v="0"/>
    <m/>
    <m/>
    <m/>
    <x v="0"/>
  </r>
  <r>
    <x v="13"/>
    <d v="2025-10-13T15:21:00"/>
    <x v="205"/>
    <d v="2025-10-13T15:21:00"/>
    <d v="2025-10-13T15:28:00"/>
    <n v="0.11700000000000001"/>
    <s v="7m"/>
    <n v="0"/>
    <n v="0"/>
    <s v=""/>
    <s v="Non payé"/>
    <n v="0"/>
    <m/>
    <m/>
    <m/>
    <x v="0"/>
  </r>
  <r>
    <x v="4"/>
    <d v="2025-10-13T15:28:00"/>
    <x v="206"/>
    <d v="2025-10-13T15:28:00"/>
    <d v="2025-10-13T17:02:00"/>
    <n v="1.5669999999999999"/>
    <s v="1h 34min"/>
    <n v="0"/>
    <n v="0"/>
    <s v=""/>
    <s v="Non payé"/>
    <n v="0"/>
    <m/>
    <m/>
    <m/>
    <x v="0"/>
  </r>
  <r>
    <x v="26"/>
    <d v="2025-10-13T19:18:00"/>
    <x v="207"/>
    <d v="2025-10-13T19:18:00"/>
    <d v="2025-10-13T19:54:00"/>
    <n v="0.6"/>
    <s v="36m"/>
    <n v="0"/>
    <n v="0"/>
    <s v="Total 20 copies dont 4 copies pendant le temps imparti"/>
    <s v="Non payé"/>
    <n v="0"/>
    <m/>
    <m/>
    <m/>
    <x v="0"/>
  </r>
  <r>
    <x v="4"/>
    <d v="2025-10-14T08:03:00"/>
    <x v="208"/>
    <d v="2025-10-14T08:03:00"/>
    <d v="2025-10-14T09:33:00"/>
    <n v="1.5"/>
    <s v="1h 30min"/>
    <n v="0"/>
    <n v="0"/>
    <s v=""/>
    <s v="Non payé"/>
    <n v="0"/>
    <m/>
    <m/>
    <m/>
    <x v="0"/>
  </r>
  <r>
    <x v="18"/>
    <d v="2025-10-14T10:02:00"/>
    <x v="209"/>
    <d v="2025-10-14T10:02:00"/>
    <d v="2025-10-14T16:23:00"/>
    <n v="6.35"/>
    <s v="6h 21min"/>
    <n v="0"/>
    <n v="0"/>
    <s v=""/>
    <s v="Non payé"/>
    <n v="0"/>
    <m/>
    <m/>
    <m/>
    <x v="0"/>
  </r>
  <r>
    <x v="21"/>
    <d v="2025-10-14T17:19:00"/>
    <x v="210"/>
    <d v="2025-10-14T17:19:00"/>
    <d v="2025-10-14T17:48:00"/>
    <n v="0.48299999999999998"/>
    <s v="29m"/>
    <n v="0"/>
    <n v="0"/>
    <s v=""/>
    <s v="Non payé"/>
    <n v="0"/>
    <m/>
    <m/>
    <m/>
    <x v="0"/>
  </r>
  <r>
    <x v="4"/>
    <d v="2025-10-14T17:50:00"/>
    <x v="211"/>
    <d v="2025-10-14T17:50:00"/>
    <d v="2025-10-14T18:29:00"/>
    <n v="0.65"/>
    <s v="39m"/>
    <n v="0"/>
    <n v="0"/>
    <s v=""/>
    <s v="Non payé"/>
    <n v="0"/>
    <m/>
    <m/>
    <m/>
    <x v="0"/>
  </r>
  <r>
    <x v="26"/>
    <d v="2025-10-14T18:34:00"/>
    <x v="212"/>
    <d v="2025-10-14T18:34:00"/>
    <d v="2025-10-14T20:02:00"/>
    <n v="1.4670000000000001"/>
    <s v="1h 28min"/>
    <n v="0"/>
    <n v="0"/>
    <s v="11 copies soit 31 copies au total"/>
    <s v="Non payé"/>
    <n v="0"/>
    <m/>
    <m/>
    <m/>
    <x v="0"/>
  </r>
  <r>
    <x v="18"/>
    <d v="2025-10-15T08:00:00"/>
    <x v="213"/>
    <d v="2025-10-15T08:00:00"/>
    <d v="2025-10-15T10:30:00"/>
    <n v="2.5"/>
    <s v="2h 30min"/>
    <n v="0"/>
    <n v="0"/>
    <s v=""/>
    <s v="Non payé"/>
    <n v="0"/>
    <m/>
    <m/>
    <m/>
    <x v="0"/>
  </r>
  <r>
    <x v="26"/>
    <d v="2025-10-15T11:14:00"/>
    <x v="214"/>
    <d v="2025-10-15T11:14:00"/>
    <d v="2025-10-15T12:01:00"/>
    <n v="0.78300000000000003"/>
    <s v="47m"/>
    <n v="0"/>
    <n v="0"/>
    <s v="7 copies"/>
    <s v="Non payé"/>
    <n v="0"/>
    <m/>
    <m/>
    <m/>
    <x v="0"/>
  </r>
  <r>
    <x v="27"/>
    <d v="2025-10-15T13:09:00"/>
    <x v="215"/>
    <d v="2025-10-15T13:09:00"/>
    <d v="2025-10-15T14:48:00"/>
    <n v="1.65"/>
    <s v="1h 39min"/>
    <n v="40"/>
    <n v="0"/>
    <s v=""/>
    <s v="Non payé"/>
    <n v="66"/>
    <m/>
    <m/>
    <m/>
    <x v="1"/>
  </r>
  <r>
    <x v="22"/>
    <d v="2025-10-15T16:17:00"/>
    <x v="216"/>
    <d v="2025-10-15T16:17:00"/>
    <d v="2025-10-15T17:48:00"/>
    <n v="1.5169999999999999"/>
    <s v="1h 31min"/>
    <n v="40"/>
    <n v="0"/>
    <s v=""/>
    <s v="Non payé"/>
    <n v="60.679999999999993"/>
    <m/>
    <m/>
    <m/>
    <x v="1"/>
  </r>
  <r>
    <x v="8"/>
    <d v="2025-10-16T06:12:00"/>
    <x v="217"/>
    <d v="2025-10-16T06:12:00"/>
    <d v="2025-10-16T06:55:00"/>
    <n v="0.71699999999999997"/>
    <s v="43m"/>
    <n v="0"/>
    <n v="0"/>
    <s v=""/>
    <s v="Non payé"/>
    <n v="0"/>
    <m/>
    <m/>
    <m/>
    <x v="0"/>
  </r>
  <r>
    <x v="2"/>
    <d v="2025-10-16T06:56:00"/>
    <x v="218"/>
    <d v="2025-10-16T06:56:00"/>
    <d v="2025-10-16T07:08:00"/>
    <n v="0.2"/>
    <s v="12m"/>
    <n v="0"/>
    <n v="0"/>
    <s v=""/>
    <s v="Non payé"/>
    <n v="0"/>
    <m/>
    <m/>
    <m/>
    <x v="0"/>
  </r>
  <r>
    <x v="2"/>
    <d v="2025-10-16T08:12:00"/>
    <x v="219"/>
    <d v="2025-10-16T08:12:00"/>
    <d v="2025-10-16T12:57:00"/>
    <n v="4.75"/>
    <s v="4h 45min"/>
    <n v="0"/>
    <n v="0"/>
    <s v=""/>
    <s v="Non payé"/>
    <n v="0"/>
    <m/>
    <m/>
    <m/>
    <x v="0"/>
  </r>
  <r>
    <x v="11"/>
    <d v="2025-10-16T14:32:00"/>
    <x v="220"/>
    <d v="2025-10-16T14:32:00"/>
    <d v="2025-10-16T16:02:00"/>
    <n v="1.5"/>
    <s v="1h 30min"/>
    <n v="40"/>
    <n v="0"/>
    <s v=""/>
    <s v="Non payé"/>
    <n v="60"/>
    <m/>
    <m/>
    <m/>
    <x v="1"/>
  </r>
  <r>
    <x v="20"/>
    <d v="2025-10-16T16:25:00"/>
    <x v="221"/>
    <d v="2025-10-16T16:25:00"/>
    <d v="2025-10-16T17:39:00"/>
    <n v="1.2330000000000001"/>
    <s v="1h 14min"/>
    <n v="35"/>
    <n v="0"/>
    <s v=""/>
    <s v="Non payé"/>
    <n v="43.155000000000001"/>
    <m/>
    <m/>
    <m/>
    <x v="1"/>
  </r>
  <r>
    <x v="26"/>
    <d v="2025-10-16T18:53:00"/>
    <x v="222"/>
    <d v="2025-10-16T18:53:00"/>
    <d v="2025-10-16T19:48:00"/>
    <n v="0.91700000000000004"/>
    <s v="55m"/>
    <n v="0"/>
    <n v="0"/>
    <s v=""/>
    <s v="Non payé"/>
    <n v="0"/>
    <m/>
    <m/>
    <m/>
    <x v="0"/>
  </r>
  <r>
    <x v="26"/>
    <d v="2025-10-17T06:08:00"/>
    <x v="223"/>
    <d v="2025-10-17T06:08:00"/>
    <d v="2025-10-17T07:18:00"/>
    <n v="1.167"/>
    <s v="1h 10min"/>
    <n v="0"/>
    <n v="0"/>
    <s v=""/>
    <s v="Non payé"/>
    <n v="0"/>
    <m/>
    <m/>
    <m/>
    <x v="0"/>
  </r>
  <r>
    <x v="18"/>
    <d v="2025-10-17T07:56:00"/>
    <x v="224"/>
    <d v="2025-10-17T07:56:00"/>
    <d v="2025-10-17T11:30:00"/>
    <n v="3.5670000000000002"/>
    <s v="3h 34min"/>
    <n v="0"/>
    <n v="0"/>
    <s v=""/>
    <s v="Non payé"/>
    <n v="0"/>
    <m/>
    <m/>
    <m/>
    <x v="0"/>
  </r>
  <r>
    <x v="15"/>
    <d v="2025-10-17T12:12:00"/>
    <x v="225"/>
    <d v="2025-10-17T12:12:00"/>
    <d v="2025-10-17T12:31:00"/>
    <n v="0.317"/>
    <s v="19m"/>
    <n v="0"/>
    <n v="0"/>
    <s v=""/>
    <s v="Non payé"/>
    <n v="0"/>
    <m/>
    <m/>
    <m/>
    <x v="0"/>
  </r>
  <r>
    <x v="28"/>
    <d v="2025-10-17T13:50:00"/>
    <x v="226"/>
    <d v="2025-10-17T13:50:00"/>
    <d v="2025-10-17T14:32:00"/>
    <n v="0.7"/>
    <s v="42m"/>
    <n v="0"/>
    <n v="0"/>
    <s v="St Félix Management"/>
    <s v="Non payé"/>
    <n v="0"/>
    <m/>
    <m/>
    <m/>
    <x v="0"/>
  </r>
  <r>
    <x v="26"/>
    <d v="2025-10-17T14:34:00"/>
    <x v="227"/>
    <d v="2025-10-17T14:34:00"/>
    <d v="2025-10-17T16:51:00"/>
    <n v="2.2829999999999999"/>
    <s v="2h 17min"/>
    <n v="0"/>
    <n v="0"/>
    <s v="Retours DS1 par mail"/>
    <s v="Non payé"/>
    <n v="0"/>
    <m/>
    <m/>
    <m/>
    <x v="0"/>
  </r>
  <r>
    <x v="9"/>
    <d v="2025-10-17T17:16:00"/>
    <x v="228"/>
    <d v="2025-10-17T17:16:00"/>
    <d v="2025-10-17T17:18:00"/>
    <n v="3.3000000000000002E-2"/>
    <s v="2m"/>
    <n v="0"/>
    <n v="0"/>
    <s v=""/>
    <s v="Non payé"/>
    <n v="0"/>
    <m/>
    <m/>
    <m/>
    <x v="0"/>
  </r>
  <r>
    <x v="29"/>
    <d v="2025-10-18T10:37:00"/>
    <x v="229"/>
    <d v="2025-10-18T10:37:00"/>
    <d v="2025-10-18T11:22:00"/>
    <n v="0.75"/>
    <s v="45m"/>
    <n v="0"/>
    <n v="0"/>
    <s v=""/>
    <s v="Non payé"/>
    <n v="0"/>
    <m/>
    <m/>
    <m/>
    <x v="0"/>
  </r>
  <r>
    <x v="29"/>
    <d v="2025-10-18T15:44:00"/>
    <x v="230"/>
    <d v="2025-10-18T15:44:00"/>
    <d v="2025-10-18T19:07:00"/>
    <n v="3.383"/>
    <s v="3h 23min"/>
    <n v="0"/>
    <n v="0"/>
    <s v=""/>
    <s v="Non payé"/>
    <n v="0"/>
    <m/>
    <m/>
    <m/>
    <x v="0"/>
  </r>
  <r>
    <x v="29"/>
    <d v="2025-10-19T06:09:00"/>
    <x v="231"/>
    <d v="2025-10-19T06:09:00"/>
    <d v="2025-10-19T10:58:00"/>
    <n v="4.8170000000000002"/>
    <s v="4h 49min"/>
    <n v="0"/>
    <n v="0"/>
    <s v="Connaissance de soi"/>
    <s v="Non payé"/>
    <n v="0"/>
    <m/>
    <m/>
    <m/>
    <x v="0"/>
  </r>
  <r>
    <x v="29"/>
    <d v="2025-10-19T11:04:00"/>
    <x v="232"/>
    <d v="2025-10-19T11:04:00"/>
    <d v="2025-10-19T11:12:00"/>
    <n v="0.13300000000000001"/>
    <s v="8m"/>
    <n v="0"/>
    <n v="0"/>
    <s v="Posture pro"/>
    <s v="Non payé"/>
    <n v="0"/>
    <m/>
    <m/>
    <m/>
    <x v="0"/>
  </r>
  <r>
    <x v="29"/>
    <d v="2025-10-19T18:10:00"/>
    <x v="233"/>
    <d v="2025-10-19T18:10:00"/>
    <d v="2025-10-19T19:19:00"/>
    <n v="1.1499999999999999"/>
    <s v="1h 9min"/>
    <n v="0"/>
    <n v="0"/>
    <s v=""/>
    <s v="Non payé"/>
    <n v="0"/>
    <m/>
    <m/>
    <m/>
    <x v="0"/>
  </r>
  <r>
    <x v="29"/>
    <d v="2025-10-19T20:21:00"/>
    <x v="234"/>
    <d v="2025-10-19T20:21:00"/>
    <d v="2025-10-19T22:00:00"/>
    <n v="1.65"/>
    <s v="1h 39min"/>
    <n v="0"/>
    <n v="0"/>
    <s v="Posture pro "/>
    <s v="Non payé"/>
    <n v="0"/>
    <m/>
    <m/>
    <m/>
    <x v="0"/>
  </r>
  <r>
    <x v="30"/>
    <d v="2025-10-20T08:10:00"/>
    <x v="235"/>
    <d v="2025-10-20T08:10:00"/>
    <d v="2025-10-20T17:55:00"/>
    <n v="9.75"/>
    <s v="9h 45min"/>
    <n v="0"/>
    <n v="0"/>
    <s v=""/>
    <s v="Non payé"/>
    <n v="0"/>
    <m/>
    <m/>
    <m/>
    <x v="0"/>
  </r>
  <r>
    <x v="30"/>
    <d v="2025-10-21T07:59:00"/>
    <x v="236"/>
    <d v="2025-10-21T07:59:00"/>
    <d v="2025-10-21T17:53:00"/>
    <n v="9.9"/>
    <s v="9h 54min"/>
    <n v="0"/>
    <n v="0"/>
    <s v=""/>
    <s v="Non payé"/>
    <n v="0"/>
    <m/>
    <m/>
    <m/>
    <x v="0"/>
  </r>
  <r>
    <x v="30"/>
    <d v="2025-10-22T08:00:00"/>
    <x v="237"/>
    <d v="2025-10-22T08:00:00"/>
    <d v="2025-10-22T12:15:00"/>
    <n v="4.25"/>
    <s v="4h 15min"/>
    <n v="0"/>
    <n v="0"/>
    <s v=""/>
    <s v="Non payé"/>
    <n v="0"/>
    <m/>
    <m/>
    <m/>
    <x v="0"/>
  </r>
  <r>
    <x v="9"/>
    <d v="2025-10-22T15:28:00"/>
    <x v="238"/>
    <d v="2025-10-22T15:28:00"/>
    <d v="2025-10-22T15:45:00"/>
    <n v="0.28299999999999997"/>
    <s v="17m"/>
    <n v="0"/>
    <n v="0"/>
    <s v=""/>
    <s v="Non payé"/>
    <n v="0"/>
    <m/>
    <m/>
    <m/>
    <x v="0"/>
  </r>
  <r>
    <x v="22"/>
    <d v="2025-10-22T16:15:00"/>
    <x v="239"/>
    <d v="2025-10-22T16:15:00"/>
    <d v="2025-10-22T17:43:00"/>
    <n v="1.4670000000000001"/>
    <s v="1h 28min"/>
    <n v="40"/>
    <n v="0"/>
    <s v=""/>
    <s v="Non payé"/>
    <n v="58.680000000000007"/>
    <m/>
    <m/>
    <m/>
    <x v="1"/>
  </r>
  <r>
    <x v="9"/>
    <d v="2025-10-23T12:55:00"/>
    <x v="240"/>
    <d v="2025-10-23T12:55:00"/>
    <d v="2025-10-23T13:05:00"/>
    <n v="0.16700000000000001"/>
    <s v="10m"/>
    <n v="0"/>
    <n v="0"/>
    <s v=""/>
    <s v="Non payé"/>
    <n v="0"/>
    <m/>
    <m/>
    <m/>
    <x v="0"/>
  </r>
  <r>
    <x v="31"/>
    <m/>
    <x v="241"/>
    <m/>
    <m/>
    <m/>
    <m/>
    <m/>
    <m/>
    <m/>
    <m/>
    <m/>
    <m/>
    <m/>
    <m/>
    <x v="0"/>
  </r>
  <r>
    <x v="31"/>
    <m/>
    <x v="241"/>
    <m/>
    <m/>
    <m/>
    <m/>
    <m/>
    <m/>
    <m/>
    <m/>
    <m/>
    <m/>
    <m/>
    <m/>
    <x v="0"/>
  </r>
  <r>
    <x v="31"/>
    <m/>
    <x v="241"/>
    <m/>
    <m/>
    <m/>
    <m/>
    <m/>
    <m/>
    <m/>
    <m/>
    <m/>
    <m/>
    <m/>
    <m/>
    <x v="0"/>
  </r>
  <r>
    <x v="31"/>
    <m/>
    <x v="241"/>
    <m/>
    <m/>
    <m/>
    <m/>
    <m/>
    <m/>
    <m/>
    <m/>
    <m/>
    <m/>
    <m/>
    <m/>
    <x v="0"/>
  </r>
  <r>
    <x v="31"/>
    <m/>
    <x v="241"/>
    <m/>
    <m/>
    <m/>
    <m/>
    <m/>
    <m/>
    <m/>
    <m/>
    <m/>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41B422-51B5-4655-B8AB-932C6BE206B1}" name="Tableau croisé dynamique2" cacheId="55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4:D9" firstHeaderRow="0" firstDataRow="1" firstDataCol="1" rowPageCount="2" colPageCount="1"/>
  <pivotFields count="19">
    <pivotField axis="axisRow" showAll="0">
      <items count="44">
        <item x="20"/>
        <item x="0"/>
        <item m="1" x="33"/>
        <item x="3"/>
        <item x="17"/>
        <item m="1" x="38"/>
        <item m="1" x="34"/>
        <item m="1" x="35"/>
        <item x="13"/>
        <item x="9"/>
        <item m="1" x="36"/>
        <item m="1" x="37"/>
        <item x="5"/>
        <item x="24"/>
        <item m="1" x="32"/>
        <item x="27"/>
        <item m="1" x="39"/>
        <item x="1"/>
        <item x="2"/>
        <item x="29"/>
        <item x="14"/>
        <item x="16"/>
        <item m="1" x="40"/>
        <item x="11"/>
        <item x="7"/>
        <item x="21"/>
        <item m="1" x="41"/>
        <item x="18"/>
        <item m="1" x="42"/>
        <item x="4"/>
        <item x="6"/>
        <item x="8"/>
        <item x="10"/>
        <item x="12"/>
        <item x="15"/>
        <item x="19"/>
        <item x="22"/>
        <item x="23"/>
        <item x="25"/>
        <item x="26"/>
        <item x="28"/>
        <item x="30"/>
        <item x="31"/>
        <item t="default"/>
      </items>
    </pivotField>
    <pivotField numFmtId="14" showAll="0"/>
    <pivotField axis="axisPage" numFmtId="164" multipleItemSelectionAllowed="1" showAll="0">
      <items count="772">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77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609"/>
        <item m="1" x="608"/>
        <item m="1" x="607"/>
        <item m="1" x="606"/>
        <item m="1" x="605"/>
        <item m="1" x="604"/>
        <item m="1" x="603"/>
        <item m="1" x="602"/>
        <item m="1" x="601"/>
        <item m="1" x="600"/>
        <item m="1" x="599"/>
        <item m="1" x="598"/>
        <item m="1" x="597"/>
        <item m="1" x="596"/>
        <item m="1" x="595"/>
        <item m="1" x="594"/>
        <item m="1" x="593"/>
        <item m="1" x="592"/>
        <item m="1" x="591"/>
        <item m="1" x="590"/>
        <item m="1" x="589"/>
        <item m="1" x="588"/>
        <item m="1" x="587"/>
        <item m="1" x="586"/>
        <item m="1" x="585"/>
        <item m="1" x="584"/>
        <item m="1" x="583"/>
        <item m="1" x="582"/>
        <item m="1" x="581"/>
        <item m="1" x="580"/>
        <item m="1" x="579"/>
        <item m="1" x="578"/>
        <item m="1" x="577"/>
        <item m="1" x="576"/>
        <item m="1" x="575"/>
        <item m="1" x="574"/>
        <item m="1" x="573"/>
        <item m="1" x="572"/>
        <item m="1" x="571"/>
        <item m="1" x="570"/>
        <item m="1" x="569"/>
        <item m="1" x="568"/>
        <item m="1" x="567"/>
        <item m="1" x="566"/>
        <item m="1" x="565"/>
        <item m="1" x="564"/>
        <item m="1" x="563"/>
        <item m="1" x="562"/>
        <item m="1" x="561"/>
        <item m="1" x="560"/>
        <item m="1" x="559"/>
        <item m="1" x="558"/>
        <item m="1" x="557"/>
        <item m="1" x="556"/>
        <item m="1" x="555"/>
        <item m="1" x="554"/>
        <item m="1" x="553"/>
        <item m="1" x="552"/>
        <item m="1" x="551"/>
        <item m="1" x="550"/>
        <item m="1" x="549"/>
        <item m="1" x="548"/>
        <item m="1" x="547"/>
        <item m="1" x="546"/>
        <item m="1" x="545"/>
        <item m="1" x="544"/>
        <item m="1" x="543"/>
        <item m="1" x="542"/>
        <item m="1" x="610"/>
        <item m="1" x="611"/>
        <item m="1" x="612"/>
        <item m="1" x="613"/>
        <item m="1" x="614"/>
        <item m="1" x="615"/>
        <item m="1" x="616"/>
        <item m="1" x="617"/>
        <item m="1" x="618"/>
        <item m="1" x="619"/>
        <item m="1" x="621"/>
        <item m="1" x="622"/>
        <item m="1" x="623"/>
        <item m="1" x="624"/>
        <item m="1" x="620"/>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h="1" x="241"/>
        <item t="default"/>
      </items>
    </pivotField>
    <pivotField numFmtId="20" showAll="0"/>
    <pivotField numFmtId="20" showAll="0"/>
    <pivotField dataField="1" numFmtId="4" showAll="0"/>
    <pivotField showAll="0"/>
    <pivotField numFmtId="4" showAll="0"/>
    <pivotField dataField="1" numFmtId="4" showAll="0"/>
    <pivotField showAll="0"/>
    <pivotField showAll="0"/>
    <pivotField dataField="1" numFmtId="4" showAll="0"/>
    <pivotField numFmtId="4" showAll="0"/>
    <pivotField numFmtId="4" showAll="0"/>
    <pivotField numFmtId="4" showAll="0"/>
    <pivotField axis="axisPage" showAll="0">
      <items count="3">
        <item h="1"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x="4"/>
        <item x="0"/>
        <item x="5"/>
        <item t="default"/>
      </items>
    </pivotField>
    <pivotField showAll="0">
      <items count="129">
        <item sd="0" x="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7"/>
        <item t="default"/>
      </items>
    </pivotField>
  </pivotFields>
  <rowFields count="1">
    <field x="0"/>
  </rowFields>
  <rowItems count="5">
    <i>
      <x/>
    </i>
    <i>
      <x v="15"/>
    </i>
    <i>
      <x v="23"/>
    </i>
    <i>
      <x v="36"/>
    </i>
    <i t="grand">
      <x/>
    </i>
  </rowItems>
  <colFields count="1">
    <field x="-2"/>
  </colFields>
  <colItems count="3">
    <i>
      <x/>
    </i>
    <i i="1">
      <x v="1"/>
    </i>
    <i i="2">
      <x v="2"/>
    </i>
  </colItems>
  <pageFields count="2">
    <pageField fld="15" item="1" hier="-1"/>
    <pageField fld="2" hier="-1"/>
  </pageFields>
  <dataFields count="3">
    <dataField name="Somme de Durée" fld="5" baseField="0" baseItem="0" numFmtId="4"/>
    <dataField name="Somme de Remboursements" fld="8" baseField="0" baseItem="0" numFmtId="4"/>
    <dataField name="Somme de Gains" fld="1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Projet_ou_client" xr10:uid="{00D020F8-F84C-4C8A-AB65-4912F7729C86}" sourceName="Projet ou clien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 xr10:uid="{D8C24A51-1EA2-4315-9348-97BDE31CE08E}" sourceName="Mois">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t ou client" xr10:uid="{57988E0B-AB9D-4D20-A743-7F514C44E3FF}" cache="Segment_Projet_ou_client" caption="Projet ou client" rowHeight="234950"/>
  <slicer name="Mois" xr10:uid="{2704A79B-7A5E-493F-B3BF-8540CA55DDA0}" cache="Segment_Mois" caption="Mois"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99860-1F2E-44BB-9D86-9AF467F3DC29}" name="Tableau1" displayName="Tableau1" ref="A16:P263" totalsRowCount="1" headerRowDxfId="156" dataDxfId="155" headerRowBorderDxfId="154">
  <autoFilter ref="A16:P262" xr:uid="{C1F99860-1F2E-44BB-9D86-9AF467F3DC29}"/>
  <sortState xmlns:xlrd2="http://schemas.microsoft.com/office/spreadsheetml/2017/richdata2" ref="A17:P262">
    <sortCondition ref="B16:B262"/>
  </sortState>
  <tableColumns count="16">
    <tableColumn id="1" xr3:uid="{737876DA-B53C-45DB-8F28-48677922735C}" name="Projet ou client" totalsRowLabel="Total" dataDxfId="152" totalsRowDxfId="153"/>
    <tableColumn id="2" xr3:uid="{EE0AB583-AA00-4FD6-B56C-CA795B545467}" name="Date de début" dataDxfId="150" totalsRowDxfId="151"/>
    <tableColumn id="16" xr3:uid="{B2DD17F4-4AC7-409F-A3E8-5EBC6F16E5E8}" name="Mois" dataDxfId="148" totalsRowDxfId="149">
      <calculatedColumnFormula>Tableau1[[#This Row],[Date de début]]</calculatedColumnFormula>
    </tableColumn>
    <tableColumn id="3" xr3:uid="{03E5EED0-B758-4AF3-8264-5F11F3B5CF4A}" name="Début" dataDxfId="146" totalsRowDxfId="147"/>
    <tableColumn id="4" xr3:uid="{A7C53674-25B8-4FE4-B1D5-3BCAA077A238}" name="Fin" dataDxfId="144" totalsRowDxfId="145"/>
    <tableColumn id="5" xr3:uid="{DC69AAF4-F794-424D-9B5F-B02B6B74EC54}" name="Durée" totalsRowFunction="custom" dataDxfId="142" totalsRowDxfId="143">
      <totalsRowFormula>SUBTOTAL(109,F17:F262)</totalsRowFormula>
    </tableColumn>
    <tableColumn id="6" xr3:uid="{C452E0B7-96EB-4165-8C48-08F2D8C3A8F8}" name="Durée (heures et minutes)" dataDxfId="140" totalsRowDxfId="141"/>
    <tableColumn id="7" xr3:uid="{3CE77F85-BAF9-4078-86BA-EFF489CD5750}" name="Tarif horaire" dataDxfId="138" totalsRowDxfId="139"/>
    <tableColumn id="8" xr3:uid="{47654C25-59FD-4742-B587-8C0B07EC5ED8}" name="Remboursements" dataDxfId="136" totalsRowDxfId="137"/>
    <tableColumn id="9" xr3:uid="{0A578A20-AE70-4C6A-BCD9-1269872BF255}" name="Remarques" dataDxfId="134" totalsRowDxfId="135"/>
    <tableColumn id="10" xr3:uid="{125C9247-C46E-4B15-BC4D-CDD58E4D6566}" name="Payé / Non payé" dataDxfId="132" totalsRowDxfId="133"/>
    <tableColumn id="11" xr3:uid="{96D270A2-CE37-444D-931F-566B5B23743F}" name="Gains" dataDxfId="130" totalsRowDxfId="131"/>
    <tableColumn id="12" xr3:uid="{0C75AD1F-65DE-4B05-8C2C-B4437109C68C}" name="Pause" dataDxfId="128" totalsRowDxfId="129"/>
    <tableColumn id="13" xr3:uid="{1EE777DC-4ED5-48E7-A573-B13F75FEFDCB}" name="Autres revenus" dataDxfId="126" totalsRowDxfId="127"/>
    <tableColumn id="14" xr3:uid="{B332093F-5F86-4118-A8CD-2E571225F3CC}" name="Taxes" dataDxfId="124" totalsRowDxfId="125"/>
    <tableColumn id="15" xr3:uid="{2354EE88-F87B-45F7-A3BF-27B793C0BAAC}" name="Type" totalsRowFunction="count" dataDxfId="122" totalsRowDxfId="123">
      <calculatedColumnFormula>IF(OR(Tableau1[[#This Row],[Projet ou client]]="Léane",Tableau1[[#This Row],[Projet ou client]]="Valentine",Tableau1[[#This Row],[Projet ou client]]="Léon",Tableau1[[#This Row],[Projet ou client]]="Camille"),"Cours particuliers","Autre")</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B2C141-60FC-4984-9C71-36BCC21C7357}" name="Tableau271243" displayName="Tableau271243" ref="A13:N25" totalsRowCount="1" headerRowDxfId="120" dataDxfId="119" totalsRowDxfId="118">
  <autoFilter ref="A13:N24" xr:uid="{C3B2C141-60FC-4984-9C71-36BCC21C7357}"/>
  <tableColumns count="14">
    <tableColumn id="1" xr3:uid="{3E2E9285-2944-4CC1-BC33-EF10EB5F823B}" name="Année" totalsRowLabel="Total" dataDxfId="116" totalsRowDxfId="117"/>
    <tableColumn id="2" xr3:uid="{7DBE32F7-F264-4D0A-B25B-57BBDB5FB9F6}" name="Mois" dataDxfId="114" totalsRowDxfId="115"/>
    <tableColumn id="7" xr3:uid="{F114A2B9-33FA-4D4D-9796-D7C9653B0BA7}" name="N° mois" dataDxfId="112" totalsRowDxfId="113"/>
    <tableColumn id="3" xr3:uid="{4A6FEEBB-305B-4546-82ED-1EE9F4E31616}" name="Temps réel" totalsRowFunction="sum" dataDxfId="110" totalsRowDxfId="111"/>
    <tableColumn id="8" xr3:uid="{B173E87B-E5C0-46BE-9C43-B32BDAA2854D}" name="Cumul du temps à reporter" dataDxfId="108" totalsRowDxfId="109">
      <calculatedColumnFormula>Tableau271243[[#This Row],[Temps réel]]-INT(Tableau271243[[#This Row],[Temps réel]])</calculatedColumnFormula>
    </tableColumn>
    <tableColumn id="12" xr3:uid="{01C11CF3-6F8B-4C6A-895F-E1DD4EE02D98}" name="Temps à reporter" dataDxfId="106" totalsRowDxfId="107">
      <calculatedColumnFormula>IF(Tableau271243[[#This Row],[Cumul du temps à reporter]]&lt;1,0,1)</calculatedColumnFormula>
    </tableColumn>
    <tableColumn id="9" xr3:uid="{961C1E75-426B-47FA-9810-86DED06023B5}" name="Temps rémunéré" totalsRowFunction="sum" dataDxfId="104" totalsRowDxfId="105">
      <calculatedColumnFormula array="1">_xlfn.IFS(E14&lt;1,INT(D14),E14&gt;1,INT(D14)+1)</calculatedColumnFormula>
    </tableColumn>
    <tableColumn id="14" xr3:uid="{D24747F6-E41E-44A6-BA05-285C8FC2911A}" name="Temps déclaré" totalsRowFunction="sum" dataDxfId="102" totalsRowDxfId="103"/>
    <tableColumn id="15" xr3:uid="{D75CC3B6-17DE-4544-9DF3-348C3EE32A51}" name="Paiement effectué" totalsRowFunction="sum" dataDxfId="100" totalsRowDxfId="101" dataCellStyle="Monétaire">
      <calculatedColumnFormula>Tableau271243[[#This Row],[Temps déclaré]]*$B$10</calculatedColumnFormula>
    </tableColumn>
    <tableColumn id="4" xr3:uid="{8EF995A2-8553-4465-BC18-1C8BA2352EBB}" name="Salaire net" totalsRowFunction="sum" dataDxfId="98" totalsRowDxfId="99" dataCellStyle="Monétaire">
      <calculatedColumnFormula>Tableau271243[[#This Row],[Temps déclaré]]*$B$10</calculatedColumnFormula>
    </tableColumn>
    <tableColumn id="13" xr3:uid="{03D6B112-EFB6-4456-AA5B-895CA680C6B3}" name="Salaire brut" totalsRowFunction="sum" dataDxfId="96" totalsRowDxfId="97" dataCellStyle="Monétaire">
      <calculatedColumnFormula>Tableau271243[[#This Row],[Temps déclaré]]*$B$11</calculatedColumnFormula>
    </tableColumn>
    <tableColumn id="18" xr3:uid="{18A70905-8229-47CD-9A9E-0E47ACD6AF0E}" name="Nombre de déplacements" dataDxfId="94" totalsRowDxfId="95" dataCellStyle="Monétaire"/>
    <tableColumn id="5" xr3:uid="{FAB6C0FA-76FA-45B3-A31A-AF46B654241F}" name="Frais de déplacement" totalsRowFunction="sum" dataDxfId="92" totalsRowDxfId="93">
      <calculatedColumnFormula>$F$5*$F$6*Tableau271243[[#This Row],[Nombre de déplacements]]</calculatedColumnFormula>
    </tableColumn>
    <tableColumn id="16" xr3:uid="{0FFF1993-9354-4652-ADFC-489105F1133C}" name="Total" totalsRowFunction="sum" dataDxfId="90" totalsRowDxfId="91" dataCellStyle="Monétaire">
      <calculatedColumnFormula>SUM(Tableau271243[[#This Row],[Paiement effectué]],Tableau271243[[#This Row],[Frais de déplacement]])</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DEAC14-98BC-4DF5-BDA2-54D071A1483D}" name="Tableau2712436" displayName="Tableau2712436" ref="A13:N25" totalsRowCount="1" headerRowDxfId="88" dataDxfId="87" totalsRowDxfId="86">
  <autoFilter ref="A13:N24" xr:uid="{39DEAC14-98BC-4DF5-BDA2-54D071A1483D}"/>
  <tableColumns count="14">
    <tableColumn id="1" xr3:uid="{9CC71A58-FBE6-4FEE-8EFC-DD1DF0DDA7FD}" name="Année" totalsRowLabel="Total" dataDxfId="84" totalsRowDxfId="85"/>
    <tableColumn id="2" xr3:uid="{79A26440-4791-4BF3-AF89-E6F22CC8876D}" name="Mois" dataDxfId="82" totalsRowDxfId="83"/>
    <tableColumn id="7" xr3:uid="{81A4F957-9784-4010-BBAF-BB8929B0C070}" name="N° mois" dataDxfId="80" totalsRowDxfId="81"/>
    <tableColumn id="3" xr3:uid="{1B9EE53C-9E94-486C-AEE0-078ABB867D1D}" name="Temps réel" totalsRowFunction="sum" dataDxfId="78" totalsRowDxfId="79"/>
    <tableColumn id="8" xr3:uid="{3686B531-FCF4-4086-8207-1EFD477A4D6C}" name="Cumul du temps à reporter" dataDxfId="76" totalsRowDxfId="77">
      <calculatedColumnFormula>Tableau2712436[[#This Row],[Temps réel]]-INT(Tableau2712436[[#This Row],[Temps réel]])</calculatedColumnFormula>
    </tableColumn>
    <tableColumn id="12" xr3:uid="{17590AC7-157C-4FF9-8E3A-432655C05686}" name="Temps à reporter" dataDxfId="74" totalsRowDxfId="75">
      <calculatedColumnFormula>IF(Tableau2712436[[#This Row],[Cumul du temps à reporter]]&lt;1,0,1)</calculatedColumnFormula>
    </tableColumn>
    <tableColumn id="9" xr3:uid="{6615B96B-8C2E-40DA-B39D-43E541D93847}" name="Temps rémunéré" totalsRowFunction="sum" dataDxfId="72" totalsRowDxfId="73">
      <calculatedColumnFormula array="1">_xlfn.IFS(E14&lt;1,INT(D14),E14&gt;1,INT(D14)+1)</calculatedColumnFormula>
    </tableColumn>
    <tableColumn id="14" xr3:uid="{1272E449-372C-4DBB-843C-A216FD87D362}" name="Temps déclaré" totalsRowFunction="sum" dataDxfId="70" totalsRowDxfId="71"/>
    <tableColumn id="15" xr3:uid="{D0A93B25-ED97-4E6E-81E5-5FC4E361B9B2}" name="Paiement effectué" totalsRowFunction="sum" dataDxfId="68" totalsRowDxfId="69" dataCellStyle="Monétaire">
      <calculatedColumnFormula>Tableau2712436[[#This Row],[Temps déclaré]]*$B$10</calculatedColumnFormula>
    </tableColumn>
    <tableColumn id="4" xr3:uid="{BAD15311-A852-4183-8CD9-A713E6ADF811}" name="Salaire net" totalsRowFunction="sum" dataDxfId="66" totalsRowDxfId="67" dataCellStyle="Monétaire">
      <calculatedColumnFormula>Tableau2712436[[#This Row],[Temps déclaré]]*$B$10</calculatedColumnFormula>
    </tableColumn>
    <tableColumn id="13" xr3:uid="{8F3D9F55-887A-41BF-B250-94C8F155C5CF}" name="Salaire brut" totalsRowFunction="sum" dataDxfId="64" totalsRowDxfId="65" dataCellStyle="Monétaire">
      <calculatedColumnFormula>Tableau2712436[[#This Row],[Temps déclaré]]*$B$11</calculatedColumnFormula>
    </tableColumn>
    <tableColumn id="18" xr3:uid="{BAD91B46-C805-485C-A16A-9EB3FC7C62B2}" name="Nombre de déplacements" dataDxfId="62" totalsRowDxfId="63" dataCellStyle="Monétaire"/>
    <tableColumn id="5" xr3:uid="{F791AEB4-DDCC-445F-BA93-6F519D993ADF}" name="Frais de déplacement" totalsRowFunction="sum" dataDxfId="60" totalsRowDxfId="61">
      <calculatedColumnFormula>$F$5*$F$6*Tableau2712436[[#This Row],[Nombre de déplacements]]</calculatedColumnFormula>
    </tableColumn>
    <tableColumn id="16" xr3:uid="{804F8FAE-CC87-4BA6-A6DA-A8E4AB86B8DA}" name="Total" totalsRowFunction="sum" dataDxfId="58" totalsRowDxfId="59" dataCellStyle="Monétaire">
      <calculatedColumnFormula>SUM(Tableau2712436[[#This Row],[Paiement effectué]],Tableau2712436[[#This Row],[Frais de déplacement]])</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E57CE5-2176-451E-BAB9-3F3500114421}" name="Tableau27124" displayName="Tableau27124" ref="A13:N26" totalsRowCount="1">
  <autoFilter ref="A13:N25" xr:uid="{24E57CE5-2176-451E-BAB9-3F3500114421}"/>
  <tableColumns count="14">
    <tableColumn id="1" xr3:uid="{216AD55D-009E-4918-AA5A-55872225410F}" name="Année" totalsRowLabel="Total"/>
    <tableColumn id="2" xr3:uid="{ED163CEC-AC96-41CC-AABE-740162B564CD}" name="Mois" dataDxfId="56"/>
    <tableColumn id="7" xr3:uid="{FF7A2BDC-250D-49AB-AF28-1DAB580CD07F}" name="N° mois"/>
    <tableColumn id="3" xr3:uid="{0369684F-A2D0-470C-BBED-A6FC947AB985}" name="Temps réel" totalsRowFunction="sum" dataDxfId="54" totalsRowDxfId="55"/>
    <tableColumn id="8" xr3:uid="{A3E4B05A-F5AB-4CE9-8681-E7EBE4892CBA}" name="Cumul du temps à reporter" dataDxfId="53">
      <calculatedColumnFormula>Tableau27124[[#This Row],[Temps réel]]-INT(Tableau27124[[#This Row],[Temps réel]])</calculatedColumnFormula>
    </tableColumn>
    <tableColumn id="12" xr3:uid="{FC24FA1D-FEE3-40F5-9E3F-16BCB6200ED3}" name="Temps à reporter" dataDxfId="52">
      <calculatedColumnFormula>IF(Tableau27124[[#This Row],[Cumul du temps à reporter]]&lt;1,0,1)</calculatedColumnFormula>
    </tableColumn>
    <tableColumn id="9" xr3:uid="{F9A281F1-91C8-4274-B59D-AE703F9C7540}" name="Temps rémunéré" totalsRowFunction="sum" dataDxfId="50" totalsRowDxfId="51">
      <calculatedColumnFormula array="1">_xlfn.IFS(E14&lt;1,INT(D14),E14&gt;1,INT(D14)+1)</calculatedColumnFormula>
    </tableColumn>
    <tableColumn id="14" xr3:uid="{3BEC51A9-921B-49B3-B4E7-AD6BB2DF851A}" name="Temps déclaré" totalsRowFunction="sum" dataDxfId="48" totalsRowDxfId="49"/>
    <tableColumn id="15" xr3:uid="{208090C3-262E-491B-88A1-49EDA493230F}" name="Paiement effectué" totalsRowFunction="sum" dataDxfId="46" totalsRowDxfId="47" dataCellStyle="Monétaire">
      <calculatedColumnFormula>Tableau27124[[#This Row],[Temps déclaré]]*$B$10</calculatedColumnFormula>
    </tableColumn>
    <tableColumn id="4" xr3:uid="{C158952E-46F5-4149-9387-6FD687B9ADE1}" name="Salaire net" totalsRowFunction="sum" dataDxfId="44" totalsRowDxfId="45" dataCellStyle="Monétaire">
      <calculatedColumnFormula>Tableau27124[[#This Row],[Temps déclaré]]*$B$10</calculatedColumnFormula>
    </tableColumn>
    <tableColumn id="13" xr3:uid="{B59A8628-F2EE-4389-8C31-B416C020FBA8}" name="Salaire brut" totalsRowFunction="sum" dataDxfId="42" totalsRowDxfId="43" dataCellStyle="Monétaire">
      <calculatedColumnFormula>Tableau27124[[#This Row],[Temps déclaré]]*$B$11</calculatedColumnFormula>
    </tableColumn>
    <tableColumn id="18" xr3:uid="{D3D5C102-4E84-4EAC-93D0-9755C4D2CF12}" name="Nombre de déplacements" dataDxfId="40" totalsRowDxfId="41" dataCellStyle="Monétaire"/>
    <tableColumn id="5" xr3:uid="{9B650486-6353-46A1-BE38-48F6A3944958}" name="Frais de déplacement" totalsRowFunction="sum" dataDxfId="38" totalsRowDxfId="39">
      <calculatedColumnFormula>$F$5*$F$6*Tableau27124[[#This Row],[Nombre de déplacements]]</calculatedColumnFormula>
    </tableColumn>
    <tableColumn id="16" xr3:uid="{A2ED6797-8D3C-403E-B37C-B56FA514FC9D}" name="Total" totalsRowFunction="sum" totalsRowDxfId="37" dataCellStyle="Monétaire">
      <calculatedColumnFormula>SUM(Tableau27124[[#This Row],[Paiement effectué]],Tableau27124[[#This Row],[Frais de déplacement]])</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A1A19A-8004-472A-A4F6-638B29A3C8F1}" name="Tableau2712435" displayName="Tableau2712435" ref="A13:N25" totalsRowCount="1" headerRowDxfId="35" dataDxfId="34" totalsRowDxfId="33">
  <autoFilter ref="A13:N24" xr:uid="{6AA1A19A-8004-472A-A4F6-638B29A3C8F1}"/>
  <tableColumns count="14">
    <tableColumn id="1" xr3:uid="{BE5AC995-63A5-496E-BC29-B0F6F8144BDB}" name="Année" totalsRowLabel="Total" dataDxfId="31" totalsRowDxfId="32"/>
    <tableColumn id="2" xr3:uid="{EBB3CFE9-A7FA-4FD8-B6A5-780E025495F9}" name="Mois" dataDxfId="29" totalsRowDxfId="30"/>
    <tableColumn id="7" xr3:uid="{C3ABBE1D-4D6C-4C6D-A27F-03108A86D21B}" name="N° mois" dataDxfId="27" totalsRowDxfId="28"/>
    <tableColumn id="3" xr3:uid="{4F681D68-88C5-41DC-860E-CA3C178EE7D8}" name="Temps réel" totalsRowFunction="sum" dataDxfId="25" totalsRowDxfId="26"/>
    <tableColumn id="8" xr3:uid="{771A1205-CEFD-446C-9239-EC14BA189083}" name="Cumul du temps à reporter" dataDxfId="23" totalsRowDxfId="24">
      <calculatedColumnFormula>Tableau2712435[[#This Row],[Temps réel]]-INT(Tableau2712435[[#This Row],[Temps réel]])</calculatedColumnFormula>
    </tableColumn>
    <tableColumn id="12" xr3:uid="{8049F401-0AB2-4E4A-B426-4A7F5788C967}" name="Temps à reporter" dataDxfId="21" totalsRowDxfId="22">
      <calculatedColumnFormula>IF(Tableau2712435[[#This Row],[Cumul du temps à reporter]]&lt;1,0,1)</calculatedColumnFormula>
    </tableColumn>
    <tableColumn id="9" xr3:uid="{9BA9D135-B43E-4FBB-96D1-1A394EECCA35}" name="Temps rémunéré" totalsRowFunction="sum" dataDxfId="19" totalsRowDxfId="20">
      <calculatedColumnFormula array="1">_xlfn.IFS(E14&lt;1,INT(D14),E14&gt;1,INT(D14)+1)</calculatedColumnFormula>
    </tableColumn>
    <tableColumn id="14" xr3:uid="{64A151F4-60E5-4D3B-BCF3-A07FC1B24ABD}" name="Temps déclaré" totalsRowFunction="sum" dataDxfId="17" totalsRowDxfId="18"/>
    <tableColumn id="15" xr3:uid="{AF666CD9-D222-40DC-AD3A-1AEB35DCFA71}" name="Paiement effectué" totalsRowFunction="sum" dataDxfId="15" totalsRowDxfId="16" dataCellStyle="Monétaire">
      <calculatedColumnFormula>Tableau2712435[[#This Row],[Temps déclaré]]*$B$10</calculatedColumnFormula>
    </tableColumn>
    <tableColumn id="4" xr3:uid="{EC01CEDB-8FE6-4416-8B49-150D32FF1847}" name="Salaire net" totalsRowFunction="sum" dataDxfId="13" totalsRowDxfId="14" dataCellStyle="Monétaire">
      <calculatedColumnFormula>Tableau2712435[[#This Row],[Temps déclaré]]*$B$10</calculatedColumnFormula>
    </tableColumn>
    <tableColumn id="13" xr3:uid="{87F52703-C312-420C-883F-D5AEA5F9D54D}" name="Salaire brut" totalsRowFunction="sum" dataDxfId="11" totalsRowDxfId="12" dataCellStyle="Monétaire">
      <calculatedColumnFormula>Tableau2712435[[#This Row],[Temps déclaré]]*$B$11</calculatedColumnFormula>
    </tableColumn>
    <tableColumn id="18" xr3:uid="{023B2FFD-8489-4979-9847-4F6C041DDE02}" name="Nombre de déplacements" dataDxfId="9" totalsRowDxfId="10" dataCellStyle="Monétaire"/>
    <tableColumn id="5" xr3:uid="{7F41ABD0-243E-4981-A2B1-CFBCDA6A7C6E}" name="Frais de déplacement" totalsRowFunction="sum" dataDxfId="7" totalsRowDxfId="8">
      <calculatedColumnFormula>$F$5*$F$6*Tableau2712435[[#This Row],[Nombre de déplacements]]</calculatedColumnFormula>
    </tableColumn>
    <tableColumn id="16" xr3:uid="{13DA2863-3172-4993-B4C4-A8C8FB117506}" name="Total" totalsRowFunction="sum" dataDxfId="5" totalsRowDxfId="6" dataCellStyle="Monétaire">
      <calculatedColumnFormula>SUM(Tableau2712435[[#This Row],[Paiement effectué]],Tableau2712435[[#This Row],[Frais de déplacement]])</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9AB740-93ED-49C9-8190-4410DFA8114A}" name="Tableau12" displayName="Tableau12" ref="A3:F8" totalsRowCount="1" dataCellStyle="Normal">
  <autoFilter ref="A3:F7" xr:uid="{2D9AB740-93ED-49C9-8190-4410DFA8114A}"/>
  <tableColumns count="6">
    <tableColumn id="1" xr3:uid="{350C05CD-EE3D-4777-AB26-F9B4243EBF1A}" name="Eleve" totalsRowLabel="Total" dataCellStyle="Normal"/>
    <tableColumn id="3" xr3:uid="{2067A084-74FB-487E-99A2-12CF6C61B272}" name="N° employeur" dataCellStyle="Normal">
      <calculatedColumnFormula>#REF!</calculatedColumnFormula>
    </tableColumn>
    <tableColumn id="4" xr3:uid="{0564856F-4B83-4876-A25F-17D455330848}" name="Heures déclarées" totalsRowFunction="sum" totalsRowDxfId="2" dataCellStyle="Normal"/>
    <tableColumn id="2" xr3:uid="{8466EFDF-CFB2-452F-8EC3-85458E7A715E}" name="Salaire brut" totalsRowFunction="sum" totalsRowDxfId="1" dataCellStyle="Monétaire">
      <calculatedColumnFormula>Camille!K14</calculatedColumnFormula>
    </tableColumn>
    <tableColumn id="5" xr3:uid="{E1EDA179-0763-441E-B222-E0537E23FF32}" name="Salaire net" totalsRowFunction="sum" totalsRowDxfId="0" dataCellStyle="Monétaire">
      <calculatedColumnFormula>#REF!</calculatedColumnFormula>
    </tableColumn>
    <tableColumn id="6" xr3:uid="{A2605718-0104-4778-8FAF-E10D52D73AA0}" name="Bulletin de salaire" dataCellStyle="Normal"/>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hyperlink" Target="Coralie%20ROBERT%20-%20L&#233;ane/Temps_nov_25_Leane.pdf" TargetMode="External"/><Relationship Id="rId3" Type="http://schemas.openxmlformats.org/officeDocument/2006/relationships/hyperlink" Target="mailto:apaitreault@aol.com" TargetMode="External"/><Relationship Id="rId7" Type="http://schemas.openxmlformats.org/officeDocument/2006/relationships/hyperlink" Target="Sophie%20PAPOTI%20-%20L&#233;on/Temps_nov_25_Leon.pdf" TargetMode="External"/><Relationship Id="rId2" Type="http://schemas.openxmlformats.org/officeDocument/2006/relationships/hyperlink" Target="mailto:famillecretal@gmail.com" TargetMode="External"/><Relationship Id="rId1" Type="http://schemas.openxmlformats.org/officeDocument/2006/relationships/hyperlink" Target="mailto:coralierobert044@gmail.com" TargetMode="External"/><Relationship Id="rId6" Type="http://schemas.openxmlformats.org/officeDocument/2006/relationships/hyperlink" Target="Alban%20PAITREAULT%20-%20Valentine/Temps_nov_25_Valentine.pdf" TargetMode="External"/><Relationship Id="rId5" Type="http://schemas.openxmlformats.org/officeDocument/2006/relationships/hyperlink" Target="Antoine%20CRETAL%20-%20Camille/Temps_Novembre_25_Camille.pdf" TargetMode="External"/><Relationship Id="rId4" Type="http://schemas.openxmlformats.org/officeDocument/2006/relationships/hyperlink" Target="mailto:spapotti@gmail.com"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Antoine%20CRETAL%20-%20Camille/Temps_Novembre_25_Camille.pdf" TargetMode="External"/><Relationship Id="rId1" Type="http://schemas.openxmlformats.org/officeDocument/2006/relationships/hyperlink" Target="mailto:florence.louazel@ARythmeEthic.onmicro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58"/>
  <sheetViews>
    <sheetView workbookViewId="0">
      <selection activeCell="D275" sqref="D275"/>
    </sheetView>
  </sheetViews>
  <sheetFormatPr defaultColWidth="8.85546875" defaultRowHeight="14.45"/>
  <cols>
    <col min="1" max="1" width="20" style="1" customWidth="1"/>
    <col min="2" max="3" width="16" style="1" customWidth="1"/>
    <col min="4" max="5" width="10" style="1" customWidth="1"/>
    <col min="6" max="6" width="9.42578125" style="1" bestFit="1" customWidth="1"/>
    <col min="7" max="7" width="25.140625" style="1" customWidth="1"/>
    <col min="8" max="8" width="13.140625" style="1" customWidth="1"/>
    <col min="9" max="9" width="19" style="1" customWidth="1"/>
    <col min="10" max="10" width="40" style="1" customWidth="1"/>
    <col min="11" max="11" width="16.7109375" style="1" customWidth="1"/>
    <col min="12" max="12" width="10" style="1" customWidth="1"/>
    <col min="13" max="13" width="9" style="1" hidden="1" customWidth="1"/>
    <col min="14" max="14" width="10" style="1" hidden="1" customWidth="1"/>
    <col min="15" max="15" width="0" style="1" hidden="1" customWidth="1"/>
    <col min="16" max="16" width="15.140625" bestFit="1" customWidth="1"/>
  </cols>
  <sheetData>
    <row r="1" spans="1:16">
      <c r="A1" s="2" t="s">
        <v>0</v>
      </c>
      <c r="B1" s="46" t="s">
        <v>1</v>
      </c>
      <c r="C1" s="46"/>
      <c r="D1" s="45"/>
      <c r="E1" s="45"/>
      <c r="F1" s="45"/>
    </row>
    <row r="2" spans="1:16">
      <c r="A2" s="2" t="s">
        <v>2</v>
      </c>
      <c r="B2" s="2" t="s">
        <v>2</v>
      </c>
      <c r="C2" s="2"/>
    </row>
    <row r="4" spans="1:16">
      <c r="A4" s="2" t="s">
        <v>3</v>
      </c>
      <c r="B4" s="45"/>
      <c r="C4" s="45"/>
      <c r="D4" s="45"/>
      <c r="E4" s="45"/>
      <c r="F4" s="45"/>
    </row>
    <row r="16" spans="1:16" ht="28.9">
      <c r="A16" s="3" t="s">
        <v>4</v>
      </c>
      <c r="B16" s="3" t="s">
        <v>5</v>
      </c>
      <c r="C16" s="3" t="s">
        <v>6</v>
      </c>
      <c r="D16" s="3" t="s">
        <v>7</v>
      </c>
      <c r="E16" s="3" t="s">
        <v>8</v>
      </c>
      <c r="F16" s="3" t="s">
        <v>9</v>
      </c>
      <c r="G16" s="3" t="s">
        <v>10</v>
      </c>
      <c r="H16" s="3" t="s">
        <v>11</v>
      </c>
      <c r="I16" s="3" t="s">
        <v>12</v>
      </c>
      <c r="J16" s="3" t="s">
        <v>13</v>
      </c>
      <c r="K16" s="3" t="s">
        <v>14</v>
      </c>
      <c r="L16" s="3" t="s">
        <v>15</v>
      </c>
      <c r="M16" s="3" t="s">
        <v>16</v>
      </c>
      <c r="N16" s="3" t="s">
        <v>17</v>
      </c>
      <c r="O16" s="3" t="s">
        <v>18</v>
      </c>
      <c r="P16" s="3" t="s">
        <v>19</v>
      </c>
    </row>
    <row r="17" spans="1:16">
      <c r="A17" s="1" t="s">
        <v>20</v>
      </c>
      <c r="B17" s="4">
        <v>45868.356249999997</v>
      </c>
      <c r="C17" s="40">
        <f>Tableau1[[#This Row],[Date de début]]</f>
        <v>45868.356249999997</v>
      </c>
      <c r="D17" s="5">
        <v>45868.356249999997</v>
      </c>
      <c r="E17" s="5">
        <v>45868.383333333331</v>
      </c>
      <c r="F17" s="6">
        <v>0.4</v>
      </c>
      <c r="G17" s="1" t="s">
        <v>21</v>
      </c>
      <c r="H17" s="6">
        <v>0</v>
      </c>
      <c r="I17" s="6">
        <v>0</v>
      </c>
      <c r="J17" s="1" t="s">
        <v>2</v>
      </c>
      <c r="K17" s="1" t="s">
        <v>22</v>
      </c>
      <c r="L17" s="6">
        <v>0</v>
      </c>
      <c r="M17" s="6"/>
      <c r="N17" s="6"/>
      <c r="O17" s="6"/>
      <c r="P17" s="6" t="str">
        <f>IF(OR(Tableau1[[#This Row],[Projet ou client]]="Léane",Tableau1[[#This Row],[Projet ou client]]="Valentine",Tableau1[[#This Row],[Projet ou client]]="Léon",Tableau1[[#This Row],[Projet ou client]]="Camille"),"Cours particuliers","Autre")</f>
        <v>Autre</v>
      </c>
    </row>
    <row r="18" spans="1:16">
      <c r="A18" s="1" t="s">
        <v>23</v>
      </c>
      <c r="B18" s="4">
        <v>45868.384027777778</v>
      </c>
      <c r="C18" s="40">
        <f>Tableau1[[#This Row],[Date de début]]</f>
        <v>45868.384027777778</v>
      </c>
      <c r="D18" s="5">
        <v>45868.384027777778</v>
      </c>
      <c r="E18" s="5">
        <v>45868.444444444445</v>
      </c>
      <c r="F18" s="6">
        <v>0.89999999999999991</v>
      </c>
      <c r="G18" s="1" t="s">
        <v>24</v>
      </c>
      <c r="H18" s="6">
        <v>0</v>
      </c>
      <c r="I18" s="6">
        <v>0</v>
      </c>
      <c r="J18" s="1" t="s">
        <v>2</v>
      </c>
      <c r="K18" s="1" t="s">
        <v>22</v>
      </c>
      <c r="L18" s="6">
        <v>0</v>
      </c>
      <c r="M18" s="6"/>
      <c r="N18" s="6"/>
      <c r="O18" s="6"/>
      <c r="P18" s="6" t="str">
        <f>IF(OR(Tableau1[[#This Row],[Projet ou client]]="Léane",Tableau1[[#This Row],[Projet ou client]]="Valentine",Tableau1[[#This Row],[Projet ou client]]="Léon",Tableau1[[#This Row],[Projet ou client]]="Camille"),"Cours particuliers","Autre")</f>
        <v>Autre</v>
      </c>
    </row>
    <row r="19" spans="1:16">
      <c r="A19" s="1" t="s">
        <v>25</v>
      </c>
      <c r="B19" s="4">
        <v>45868.421527777777</v>
      </c>
      <c r="C19" s="40">
        <f>Tableau1[[#This Row],[Date de début]]</f>
        <v>45868.421527777777</v>
      </c>
      <c r="D19" s="5">
        <v>45868.421527777777</v>
      </c>
      <c r="E19" s="5">
        <v>45868.443055555559</v>
      </c>
      <c r="F19" s="6">
        <v>0.51700000000000002</v>
      </c>
      <c r="G19" s="1" t="s">
        <v>26</v>
      </c>
      <c r="H19" s="6">
        <v>0</v>
      </c>
      <c r="I19" s="6">
        <v>0</v>
      </c>
      <c r="J19" s="1" t="s">
        <v>2</v>
      </c>
      <c r="K19" s="1" t="s">
        <v>22</v>
      </c>
      <c r="L19" s="6">
        <v>0</v>
      </c>
      <c r="M19" s="6"/>
      <c r="N19" s="6"/>
      <c r="O19" s="6"/>
      <c r="P19" s="6" t="str">
        <f>IF(OR(Tableau1[[#This Row],[Projet ou client]]="Léane",Tableau1[[#This Row],[Projet ou client]]="Valentine",Tableau1[[#This Row],[Projet ou client]]="Léon",Tableau1[[#This Row],[Projet ou client]]="Camille"),"Cours particuliers","Autre")</f>
        <v>Autre</v>
      </c>
    </row>
    <row r="20" spans="1:16">
      <c r="A20" s="1" t="s">
        <v>23</v>
      </c>
      <c r="B20" s="4">
        <v>45868.445138888885</v>
      </c>
      <c r="C20" s="40">
        <f>Tableau1[[#This Row],[Date de début]]</f>
        <v>45868.445138888885</v>
      </c>
      <c r="D20" s="5">
        <v>45868.445138888885</v>
      </c>
      <c r="E20" s="5">
        <v>45868.466666666667</v>
      </c>
      <c r="F20" s="6">
        <v>0.51700000000000002</v>
      </c>
      <c r="G20" s="1" t="s">
        <v>26</v>
      </c>
      <c r="H20" s="6">
        <v>0</v>
      </c>
      <c r="I20" s="6">
        <v>0</v>
      </c>
      <c r="J20" s="1" t="s">
        <v>2</v>
      </c>
      <c r="K20" s="1" t="s">
        <v>22</v>
      </c>
      <c r="L20" s="6">
        <v>0</v>
      </c>
      <c r="M20" s="6"/>
      <c r="N20" s="6"/>
      <c r="O20" s="6"/>
      <c r="P20" s="6" t="str">
        <f>IF(OR(Tableau1[[#This Row],[Projet ou client]]="Léane",Tableau1[[#This Row],[Projet ou client]]="Valentine",Tableau1[[#This Row],[Projet ou client]]="Léon",Tableau1[[#This Row],[Projet ou client]]="Camille"),"Cours particuliers","Autre")</f>
        <v>Autre</v>
      </c>
    </row>
    <row r="21" spans="1:16">
      <c r="A21" s="1" t="s">
        <v>25</v>
      </c>
      <c r="B21" s="4">
        <v>45868.466666666667</v>
      </c>
      <c r="C21" s="40">
        <f>Tableau1[[#This Row],[Date de début]]</f>
        <v>45868.466666666667</v>
      </c>
      <c r="D21" s="5">
        <v>45868.466666666667</v>
      </c>
      <c r="E21" s="5">
        <v>45868.485416666663</v>
      </c>
      <c r="F21" s="6">
        <v>0.45</v>
      </c>
      <c r="G21" s="1" t="s">
        <v>27</v>
      </c>
      <c r="H21" s="6">
        <v>0</v>
      </c>
      <c r="I21" s="6">
        <v>0</v>
      </c>
      <c r="J21" s="1" t="s">
        <v>2</v>
      </c>
      <c r="K21" s="1" t="s">
        <v>22</v>
      </c>
      <c r="L21" s="6">
        <v>0</v>
      </c>
      <c r="M21" s="6"/>
      <c r="N21" s="6"/>
      <c r="O21" s="6"/>
      <c r="P21" s="6" t="str">
        <f>IF(OR(Tableau1[[#This Row],[Projet ou client]]="Léane",Tableau1[[#This Row],[Projet ou client]]="Valentine",Tableau1[[#This Row],[Projet ou client]]="Léon",Tableau1[[#This Row],[Projet ou client]]="Camille"),"Cours particuliers","Autre")</f>
        <v>Autre</v>
      </c>
    </row>
    <row r="22" spans="1:16">
      <c r="A22" s="1" t="s">
        <v>28</v>
      </c>
      <c r="B22" s="4">
        <v>45868.535416666666</v>
      </c>
      <c r="C22" s="40">
        <f>Tableau1[[#This Row],[Date de début]]</f>
        <v>45868.535416666666</v>
      </c>
      <c r="D22" s="5">
        <v>45868.535416666666</v>
      </c>
      <c r="E22" s="5">
        <v>45868.579861111109</v>
      </c>
      <c r="F22" s="6">
        <v>1.0669999999999999</v>
      </c>
      <c r="G22" s="1" t="s">
        <v>29</v>
      </c>
      <c r="H22" s="6">
        <v>0</v>
      </c>
      <c r="I22" s="6">
        <v>0</v>
      </c>
      <c r="J22" s="1" t="s">
        <v>2</v>
      </c>
      <c r="K22" s="1" t="s">
        <v>22</v>
      </c>
      <c r="L22" s="6">
        <v>0</v>
      </c>
      <c r="M22" s="6"/>
      <c r="N22" s="6"/>
      <c r="O22" s="6"/>
      <c r="P22" s="6" t="str">
        <f>IF(OR(Tableau1[[#This Row],[Projet ou client]]="Léane",Tableau1[[#This Row],[Projet ou client]]="Valentine",Tableau1[[#This Row],[Projet ou client]]="Léon",Tableau1[[#This Row],[Projet ou client]]="Camille"),"Cours particuliers","Autre")</f>
        <v>Autre</v>
      </c>
    </row>
    <row r="23" spans="1:16">
      <c r="A23" s="1" t="s">
        <v>25</v>
      </c>
      <c r="B23" s="4">
        <v>45868.584027777775</v>
      </c>
      <c r="C23" s="40">
        <f>Tableau1[[#This Row],[Date de début]]</f>
        <v>45868.584027777775</v>
      </c>
      <c r="D23" s="5">
        <v>45868.584027777775</v>
      </c>
      <c r="E23" s="5">
        <v>45868.597222222219</v>
      </c>
      <c r="F23" s="6">
        <v>0.317</v>
      </c>
      <c r="G23" s="1" t="s">
        <v>30</v>
      </c>
      <c r="H23" s="6">
        <v>0</v>
      </c>
      <c r="I23" s="6">
        <v>0</v>
      </c>
      <c r="J23" s="1" t="s">
        <v>2</v>
      </c>
      <c r="K23" s="1" t="s">
        <v>22</v>
      </c>
      <c r="L23" s="6">
        <v>0</v>
      </c>
      <c r="M23" s="6"/>
      <c r="N23" s="6"/>
      <c r="O23" s="6"/>
      <c r="P23" s="6" t="str">
        <f>IF(OR(Tableau1[[#This Row],[Projet ou client]]="Léane",Tableau1[[#This Row],[Projet ou client]]="Valentine",Tableau1[[#This Row],[Projet ou client]]="Léon",Tableau1[[#This Row],[Projet ou client]]="Camille"),"Cours particuliers","Autre")</f>
        <v>Autre</v>
      </c>
    </row>
    <row r="24" spans="1:16" ht="28.9">
      <c r="A24" s="1" t="s">
        <v>31</v>
      </c>
      <c r="B24" s="4">
        <v>45868.59652777778</v>
      </c>
      <c r="C24" s="40">
        <f>Tableau1[[#This Row],[Date de début]]</f>
        <v>45868.59652777778</v>
      </c>
      <c r="D24" s="5">
        <v>45868.59652777778</v>
      </c>
      <c r="E24" s="5">
        <v>45868.646527777775</v>
      </c>
      <c r="F24" s="6">
        <v>1.2</v>
      </c>
      <c r="G24" s="1" t="s">
        <v>32</v>
      </c>
      <c r="H24" s="6">
        <v>0</v>
      </c>
      <c r="I24" s="6">
        <v>0</v>
      </c>
      <c r="J24" s="1" t="s">
        <v>2</v>
      </c>
      <c r="K24" s="1" t="s">
        <v>22</v>
      </c>
      <c r="L24" s="6">
        <v>0</v>
      </c>
      <c r="M24" s="6"/>
      <c r="N24" s="6"/>
      <c r="O24" s="6"/>
      <c r="P24" s="6" t="str">
        <f>IF(OR(Tableau1[[#This Row],[Projet ou client]]="Léane",Tableau1[[#This Row],[Projet ou client]]="Valentine",Tableau1[[#This Row],[Projet ou client]]="Léon",Tableau1[[#This Row],[Projet ou client]]="Camille"),"Cours particuliers","Autre")</f>
        <v>Autre</v>
      </c>
    </row>
    <row r="25" spans="1:16" ht="28.9">
      <c r="A25" s="1" t="s">
        <v>31</v>
      </c>
      <c r="B25" s="4">
        <v>45868.675000000003</v>
      </c>
      <c r="C25" s="40">
        <f>Tableau1[[#This Row],[Date de début]]</f>
        <v>45868.675000000003</v>
      </c>
      <c r="D25" s="5">
        <v>45868.675000000003</v>
      </c>
      <c r="E25" s="5">
        <v>45868.722222222219</v>
      </c>
      <c r="F25" s="6">
        <v>1.133</v>
      </c>
      <c r="G25" s="1" t="s">
        <v>33</v>
      </c>
      <c r="H25" s="6">
        <v>0</v>
      </c>
      <c r="I25" s="6">
        <v>0</v>
      </c>
      <c r="J25" s="1" t="s">
        <v>2</v>
      </c>
      <c r="K25" s="1" t="s">
        <v>22</v>
      </c>
      <c r="L25" s="6">
        <v>0</v>
      </c>
      <c r="M25" s="6"/>
      <c r="N25" s="6"/>
      <c r="O25" s="6"/>
      <c r="P25" s="6" t="str">
        <f>IF(OR(Tableau1[[#This Row],[Projet ou client]]="Léane",Tableau1[[#This Row],[Projet ou client]]="Valentine",Tableau1[[#This Row],[Projet ou client]]="Léon",Tableau1[[#This Row],[Projet ou client]]="Camille"),"Cours particuliers","Autre")</f>
        <v>Autre</v>
      </c>
    </row>
    <row r="26" spans="1:16">
      <c r="A26" s="1" t="s">
        <v>25</v>
      </c>
      <c r="B26" s="4">
        <v>45869.427777777775</v>
      </c>
      <c r="C26" s="40">
        <f>Tableau1[[#This Row],[Date de début]]</f>
        <v>45869.427777777775</v>
      </c>
      <c r="D26" s="5">
        <v>45869.427777777775</v>
      </c>
      <c r="E26" s="5">
        <v>45869.431250000001</v>
      </c>
      <c r="F26" s="6">
        <v>8.3000000000000004E-2</v>
      </c>
      <c r="G26" s="1" t="s">
        <v>34</v>
      </c>
      <c r="H26" s="6">
        <v>0</v>
      </c>
      <c r="I26" s="6">
        <v>0</v>
      </c>
      <c r="J26" s="1" t="s">
        <v>2</v>
      </c>
      <c r="K26" s="1" t="s">
        <v>22</v>
      </c>
      <c r="L26" s="6">
        <v>0</v>
      </c>
      <c r="M26" s="6"/>
      <c r="N26" s="6"/>
      <c r="O26" s="6"/>
      <c r="P26" s="6" t="str">
        <f>IF(OR(Tableau1[[#This Row],[Projet ou client]]="Léane",Tableau1[[#This Row],[Projet ou client]]="Valentine",Tableau1[[#This Row],[Projet ou client]]="Léon",Tableau1[[#This Row],[Projet ou client]]="Camille"),"Cours particuliers","Autre")</f>
        <v>Autre</v>
      </c>
    </row>
    <row r="27" spans="1:16">
      <c r="A27" s="1" t="s">
        <v>23</v>
      </c>
      <c r="B27" s="4">
        <v>45869.431250000001</v>
      </c>
      <c r="C27" s="40">
        <f>Tableau1[[#This Row],[Date de début]]</f>
        <v>45869.431250000001</v>
      </c>
      <c r="D27" s="5">
        <v>45869.431250000001</v>
      </c>
      <c r="E27" s="5">
        <v>45869.534722222219</v>
      </c>
      <c r="F27" s="6">
        <v>2.4830000000000001</v>
      </c>
      <c r="G27" s="1" t="s">
        <v>35</v>
      </c>
      <c r="H27" s="6">
        <v>0</v>
      </c>
      <c r="I27" s="6">
        <v>0</v>
      </c>
      <c r="J27" s="1" t="s">
        <v>2</v>
      </c>
      <c r="K27" s="1" t="s">
        <v>22</v>
      </c>
      <c r="L27" s="6">
        <v>0</v>
      </c>
      <c r="M27" s="6"/>
      <c r="N27" s="6"/>
      <c r="O27" s="6"/>
      <c r="P27" s="6" t="str">
        <f>IF(OR(Tableau1[[#This Row],[Projet ou client]]="Léane",Tableau1[[#This Row],[Projet ou client]]="Valentine",Tableau1[[#This Row],[Projet ou client]]="Léon",Tableau1[[#This Row],[Projet ou client]]="Camille"),"Cours particuliers","Autre")</f>
        <v>Autre</v>
      </c>
    </row>
    <row r="28" spans="1:16">
      <c r="A28" s="1" t="s">
        <v>23</v>
      </c>
      <c r="B28" s="4">
        <v>45869.601388888885</v>
      </c>
      <c r="C28" s="40">
        <f>Tableau1[[#This Row],[Date de début]]</f>
        <v>45869.601388888885</v>
      </c>
      <c r="D28" s="5">
        <v>45869.601388888885</v>
      </c>
      <c r="E28" s="5">
        <v>45869.65347222222</v>
      </c>
      <c r="F28" s="6">
        <v>1.25</v>
      </c>
      <c r="G28" s="1" t="s">
        <v>36</v>
      </c>
      <c r="H28" s="6">
        <v>0</v>
      </c>
      <c r="I28" s="6">
        <v>0</v>
      </c>
      <c r="J28" s="1" t="s">
        <v>2</v>
      </c>
      <c r="K28" s="1" t="s">
        <v>22</v>
      </c>
      <c r="L28" s="6">
        <v>0</v>
      </c>
      <c r="M28" s="6"/>
      <c r="N28" s="6"/>
      <c r="O28" s="6"/>
      <c r="P28" s="6" t="str">
        <f>IF(OR(Tableau1[[#This Row],[Projet ou client]]="Léane",Tableau1[[#This Row],[Projet ou client]]="Valentine",Tableau1[[#This Row],[Projet ou client]]="Léon",Tableau1[[#This Row],[Projet ou client]]="Camille"),"Cours particuliers","Autre")</f>
        <v>Autre</v>
      </c>
    </row>
    <row r="29" spans="1:16">
      <c r="A29" s="1" t="s">
        <v>23</v>
      </c>
      <c r="B29" s="4">
        <v>45869.654861111107</v>
      </c>
      <c r="C29" s="40">
        <f>Tableau1[[#This Row],[Date de début]]</f>
        <v>45869.654861111107</v>
      </c>
      <c r="D29" s="5">
        <v>45869.654861111107</v>
      </c>
      <c r="E29" s="5">
        <v>45869.661805555559</v>
      </c>
      <c r="F29" s="6">
        <v>0.16700000000000001</v>
      </c>
      <c r="G29" s="1" t="s">
        <v>37</v>
      </c>
      <c r="H29" s="6">
        <v>0</v>
      </c>
      <c r="I29" s="6">
        <v>0</v>
      </c>
      <c r="J29" s="1" t="s">
        <v>2</v>
      </c>
      <c r="K29" s="1" t="s">
        <v>22</v>
      </c>
      <c r="L29" s="6">
        <v>0</v>
      </c>
      <c r="M29" s="6"/>
      <c r="N29" s="6"/>
      <c r="O29" s="6"/>
      <c r="P29" s="6" t="str">
        <f>IF(OR(Tableau1[[#This Row],[Projet ou client]]="Léane",Tableau1[[#This Row],[Projet ou client]]="Valentine",Tableau1[[#This Row],[Projet ou client]]="Léon",Tableau1[[#This Row],[Projet ou client]]="Camille"),"Cours particuliers","Autre")</f>
        <v>Autre</v>
      </c>
    </row>
    <row r="30" spans="1:16">
      <c r="A30" s="1" t="s">
        <v>38</v>
      </c>
      <c r="B30" s="4">
        <v>45869.661805555559</v>
      </c>
      <c r="C30" s="40">
        <f>Tableau1[[#This Row],[Date de début]]</f>
        <v>45869.661805555559</v>
      </c>
      <c r="D30" s="5">
        <v>45869.661805555559</v>
      </c>
      <c r="E30" s="5">
        <v>45869.669444444444</v>
      </c>
      <c r="F30" s="6">
        <v>0.183</v>
      </c>
      <c r="G30" s="1" t="s">
        <v>39</v>
      </c>
      <c r="H30" s="6">
        <v>0</v>
      </c>
      <c r="I30" s="6">
        <v>0</v>
      </c>
      <c r="J30" s="1" t="s">
        <v>2</v>
      </c>
      <c r="K30" s="1" t="s">
        <v>22</v>
      </c>
      <c r="L30" s="6">
        <v>0</v>
      </c>
      <c r="M30" s="6"/>
      <c r="N30" s="6"/>
      <c r="O30" s="6"/>
      <c r="P30" s="6" t="str">
        <f>IF(OR(Tableau1[[#This Row],[Projet ou client]]="Léane",Tableau1[[#This Row],[Projet ou client]]="Valentine",Tableau1[[#This Row],[Projet ou client]]="Léon",Tableau1[[#This Row],[Projet ou client]]="Camille"),"Cours particuliers","Autre")</f>
        <v>Autre</v>
      </c>
    </row>
    <row r="31" spans="1:16">
      <c r="A31" s="1" t="s">
        <v>25</v>
      </c>
      <c r="B31" s="4">
        <v>45869.671527777777</v>
      </c>
      <c r="C31" s="40">
        <f>Tableau1[[#This Row],[Date de début]]</f>
        <v>45869.671527777777</v>
      </c>
      <c r="D31" s="5">
        <v>45869.671527777777</v>
      </c>
      <c r="E31" s="5">
        <v>45869.709027777775</v>
      </c>
      <c r="F31" s="6">
        <v>0.9</v>
      </c>
      <c r="G31" s="1" t="s">
        <v>24</v>
      </c>
      <c r="H31" s="6">
        <v>0</v>
      </c>
      <c r="I31" s="6">
        <v>0</v>
      </c>
      <c r="J31" s="1" t="s">
        <v>2</v>
      </c>
      <c r="K31" s="1" t="s">
        <v>22</v>
      </c>
      <c r="L31" s="6">
        <v>0</v>
      </c>
      <c r="M31" s="6"/>
      <c r="N31" s="6"/>
      <c r="O31" s="6"/>
      <c r="P31" s="6" t="str">
        <f>IF(OR(Tableau1[[#This Row],[Projet ou client]]="Léane",Tableau1[[#This Row],[Projet ou client]]="Valentine",Tableau1[[#This Row],[Projet ou client]]="Léon",Tableau1[[#This Row],[Projet ou client]]="Camille"),"Cours particuliers","Autre")</f>
        <v>Autre</v>
      </c>
    </row>
    <row r="32" spans="1:16">
      <c r="A32" s="1" t="s">
        <v>40</v>
      </c>
      <c r="B32" s="4">
        <v>45869.711805555555</v>
      </c>
      <c r="C32" s="40">
        <f>Tableau1[[#This Row],[Date de début]]</f>
        <v>45869.711805555555</v>
      </c>
      <c r="D32" s="5">
        <v>45869.711805555555</v>
      </c>
      <c r="E32" s="5">
        <v>45869.720138888893</v>
      </c>
      <c r="F32" s="6">
        <v>0.2</v>
      </c>
      <c r="G32" s="1" t="s">
        <v>41</v>
      </c>
      <c r="H32" s="6">
        <v>0</v>
      </c>
      <c r="I32" s="6">
        <v>0</v>
      </c>
      <c r="J32" s="1" t="s">
        <v>2</v>
      </c>
      <c r="K32" s="1" t="s">
        <v>22</v>
      </c>
      <c r="L32" s="6">
        <v>0</v>
      </c>
      <c r="M32" s="6"/>
      <c r="N32" s="6"/>
      <c r="O32" s="6"/>
      <c r="P32" s="6" t="str">
        <f>IF(OR(Tableau1[[#This Row],[Projet ou client]]="Léane",Tableau1[[#This Row],[Projet ou client]]="Valentine",Tableau1[[#This Row],[Projet ou client]]="Léon",Tableau1[[#This Row],[Projet ou client]]="Camille"),"Cours particuliers","Autre")</f>
        <v>Autre</v>
      </c>
    </row>
    <row r="33" spans="1:16">
      <c r="A33" s="1" t="s">
        <v>20</v>
      </c>
      <c r="B33" s="4">
        <v>45870.381249999999</v>
      </c>
      <c r="C33" s="40">
        <f>Tableau1[[#This Row],[Date de début]]</f>
        <v>45870.381249999999</v>
      </c>
      <c r="D33" s="5">
        <v>45870.381249999999</v>
      </c>
      <c r="E33" s="5">
        <v>45871.423611111109</v>
      </c>
      <c r="F33" s="6">
        <v>25.016999999999999</v>
      </c>
      <c r="G33" s="1" t="s">
        <v>42</v>
      </c>
      <c r="H33" s="6">
        <v>0</v>
      </c>
      <c r="I33" s="6">
        <v>0</v>
      </c>
      <c r="J33" s="1" t="s">
        <v>2</v>
      </c>
      <c r="K33" s="1" t="s">
        <v>22</v>
      </c>
      <c r="L33" s="6">
        <v>0</v>
      </c>
      <c r="M33" s="6"/>
      <c r="N33" s="6"/>
      <c r="O33" s="6"/>
      <c r="P33" s="6" t="str">
        <f>IF(OR(Tableau1[[#This Row],[Projet ou client]]="Léane",Tableau1[[#This Row],[Projet ou client]]="Valentine",Tableau1[[#This Row],[Projet ou client]]="Léon",Tableau1[[#This Row],[Projet ou client]]="Camille"),"Cours particuliers","Autre")</f>
        <v>Autre</v>
      </c>
    </row>
    <row r="34" spans="1:16">
      <c r="A34" s="1" t="s">
        <v>20</v>
      </c>
      <c r="B34" s="4">
        <v>45873.474999999999</v>
      </c>
      <c r="C34" s="40">
        <f>Tableau1[[#This Row],[Date de début]]</f>
        <v>45873.474999999999</v>
      </c>
      <c r="D34" s="5">
        <v>45873.474999999999</v>
      </c>
      <c r="E34" s="5">
        <v>45873.524305555555</v>
      </c>
      <c r="F34" s="6">
        <v>0.93300000000000005</v>
      </c>
      <c r="G34" s="1" t="s">
        <v>43</v>
      </c>
      <c r="H34" s="6">
        <v>0</v>
      </c>
      <c r="I34" s="6">
        <v>0</v>
      </c>
      <c r="J34" s="1" t="s">
        <v>2</v>
      </c>
      <c r="K34" s="1" t="s">
        <v>22</v>
      </c>
      <c r="L34" s="6">
        <v>0</v>
      </c>
      <c r="M34" s="6"/>
      <c r="N34" s="6"/>
      <c r="O34" s="6"/>
      <c r="P34" s="6" t="str">
        <f>IF(OR(Tableau1[[#This Row],[Projet ou client]]="Léane",Tableau1[[#This Row],[Projet ou client]]="Valentine",Tableau1[[#This Row],[Projet ou client]]="Léon",Tableau1[[#This Row],[Projet ou client]]="Camille"),"Cours particuliers","Autre")</f>
        <v>Autre</v>
      </c>
    </row>
    <row r="35" spans="1:16">
      <c r="A35" s="1" t="s">
        <v>20</v>
      </c>
      <c r="B35" s="4">
        <v>45873.560416666667</v>
      </c>
      <c r="C35" s="40">
        <f>Tableau1[[#This Row],[Date de début]]</f>
        <v>45873.560416666667</v>
      </c>
      <c r="D35" s="5">
        <v>45873.560416666667</v>
      </c>
      <c r="E35" s="5">
        <v>45873.661111111112</v>
      </c>
      <c r="F35" s="6">
        <v>1.6839999999999997</v>
      </c>
      <c r="G35" s="1" t="s">
        <v>44</v>
      </c>
      <c r="H35" s="6">
        <v>0</v>
      </c>
      <c r="I35" s="6">
        <v>0</v>
      </c>
      <c r="J35" s="1" t="s">
        <v>2</v>
      </c>
      <c r="K35" s="1" t="s">
        <v>22</v>
      </c>
      <c r="L35" s="6">
        <v>0</v>
      </c>
      <c r="M35" s="6"/>
      <c r="N35" s="6"/>
      <c r="O35" s="6"/>
      <c r="P35" s="6" t="str">
        <f>IF(OR(Tableau1[[#This Row],[Projet ou client]]="Léane",Tableau1[[#This Row],[Projet ou client]]="Valentine",Tableau1[[#This Row],[Projet ou client]]="Léon",Tableau1[[#This Row],[Projet ou client]]="Camille"),"Cours particuliers","Autre")</f>
        <v>Autre</v>
      </c>
    </row>
    <row r="36" spans="1:16">
      <c r="A36" s="1" t="s">
        <v>45</v>
      </c>
      <c r="B36" s="4">
        <v>45873.659722222219</v>
      </c>
      <c r="C36" s="40">
        <f>Tableau1[[#This Row],[Date de début]]</f>
        <v>45873.659722222219</v>
      </c>
      <c r="D36" s="5">
        <v>45873.659722222219</v>
      </c>
      <c r="E36" s="5">
        <v>45873.703472222223</v>
      </c>
      <c r="F36" s="6">
        <v>0.86699999999999999</v>
      </c>
      <c r="G36" s="1" t="s">
        <v>46</v>
      </c>
      <c r="H36" s="6">
        <v>0</v>
      </c>
      <c r="I36" s="6">
        <v>0</v>
      </c>
      <c r="J36" s="1" t="s">
        <v>2</v>
      </c>
      <c r="K36" s="1" t="s">
        <v>22</v>
      </c>
      <c r="L36" s="6">
        <v>0</v>
      </c>
      <c r="M36" s="6"/>
      <c r="N36" s="6"/>
      <c r="O36" s="6"/>
      <c r="P36" s="6" t="str">
        <f>IF(OR(Tableau1[[#This Row],[Projet ou client]]="Léane",Tableau1[[#This Row],[Projet ou client]]="Valentine",Tableau1[[#This Row],[Projet ou client]]="Léon",Tableau1[[#This Row],[Projet ou client]]="Camille"),"Cours particuliers","Autre")</f>
        <v>Autre</v>
      </c>
    </row>
    <row r="37" spans="1:16">
      <c r="A37" s="1" t="s">
        <v>25</v>
      </c>
      <c r="B37" s="4">
        <v>45873.704166666663</v>
      </c>
      <c r="C37" s="40">
        <f>Tableau1[[#This Row],[Date de début]]</f>
        <v>45873.704166666663</v>
      </c>
      <c r="D37" s="5">
        <v>45873.704166666663</v>
      </c>
      <c r="E37" s="5">
        <v>45873.709027777775</v>
      </c>
      <c r="F37" s="6">
        <v>0.11700000000000001</v>
      </c>
      <c r="G37" s="1" t="s">
        <v>47</v>
      </c>
      <c r="H37" s="6">
        <v>0</v>
      </c>
      <c r="I37" s="6">
        <v>0</v>
      </c>
      <c r="J37" s="1" t="s">
        <v>2</v>
      </c>
      <c r="K37" s="1" t="s">
        <v>22</v>
      </c>
      <c r="L37" s="6">
        <v>0</v>
      </c>
      <c r="M37" s="6"/>
      <c r="N37" s="6"/>
      <c r="O37" s="6"/>
      <c r="P37" s="6" t="str">
        <f>IF(OR(Tableau1[[#This Row],[Projet ou client]]="Léane",Tableau1[[#This Row],[Projet ou client]]="Valentine",Tableau1[[#This Row],[Projet ou client]]="Léon",Tableau1[[#This Row],[Projet ou client]]="Camille"),"Cours particuliers","Autre")</f>
        <v>Autre</v>
      </c>
    </row>
    <row r="38" spans="1:16">
      <c r="A38" s="1" t="s">
        <v>25</v>
      </c>
      <c r="B38" s="4">
        <v>45889.646527777775</v>
      </c>
      <c r="C38" s="40">
        <f>Tableau1[[#This Row],[Date de début]]</f>
        <v>45889.646527777775</v>
      </c>
      <c r="D38" s="5">
        <v>45889.646527777775</v>
      </c>
      <c r="E38" s="5">
        <v>45889.734722222223</v>
      </c>
      <c r="F38" s="6">
        <v>2.117</v>
      </c>
      <c r="G38" s="1" t="s">
        <v>48</v>
      </c>
      <c r="H38" s="6">
        <v>0</v>
      </c>
      <c r="I38" s="6">
        <v>0</v>
      </c>
      <c r="J38" s="1" t="s">
        <v>2</v>
      </c>
      <c r="K38" s="1" t="s">
        <v>22</v>
      </c>
      <c r="L38" s="6">
        <v>0</v>
      </c>
      <c r="M38" s="6"/>
      <c r="N38" s="6"/>
      <c r="O38" s="6"/>
      <c r="P38" s="6" t="str">
        <f>IF(OR(Tableau1[[#This Row],[Projet ou client]]="Léane",Tableau1[[#This Row],[Projet ou client]]="Valentine",Tableau1[[#This Row],[Projet ou client]]="Léon",Tableau1[[#This Row],[Projet ou client]]="Camille"),"Cours particuliers","Autre")</f>
        <v>Autre</v>
      </c>
    </row>
    <row r="39" spans="1:16">
      <c r="A39" s="1" t="s">
        <v>25</v>
      </c>
      <c r="B39" s="4">
        <v>45890.461805555555</v>
      </c>
      <c r="C39" s="40">
        <f>Tableau1[[#This Row],[Date de début]]</f>
        <v>45890.461805555555</v>
      </c>
      <c r="D39" s="5">
        <v>45890.461805555555</v>
      </c>
      <c r="E39" s="5">
        <v>45890.541666666672</v>
      </c>
      <c r="F39" s="6">
        <v>1.85</v>
      </c>
      <c r="G39" s="1" t="s">
        <v>49</v>
      </c>
      <c r="H39" s="6">
        <v>0</v>
      </c>
      <c r="I39" s="6">
        <v>0</v>
      </c>
      <c r="J39" s="1" t="s">
        <v>2</v>
      </c>
      <c r="K39" s="1" t="s">
        <v>22</v>
      </c>
      <c r="L39" s="6">
        <v>0</v>
      </c>
      <c r="M39" s="6"/>
      <c r="N39" s="6"/>
      <c r="O39" s="6"/>
      <c r="P39" s="6" t="str">
        <f>IF(OR(Tableau1[[#This Row],[Projet ou client]]="Léane",Tableau1[[#This Row],[Projet ou client]]="Valentine",Tableau1[[#This Row],[Projet ou client]]="Léon",Tableau1[[#This Row],[Projet ou client]]="Camille"),"Cours particuliers","Autre")</f>
        <v>Autre</v>
      </c>
    </row>
    <row r="40" spans="1:16" ht="28.9">
      <c r="A40" s="1" t="s">
        <v>50</v>
      </c>
      <c r="B40" s="4">
        <v>45890.540972222225</v>
      </c>
      <c r="C40" s="40">
        <f>Tableau1[[#This Row],[Date de début]]</f>
        <v>45890.540972222225</v>
      </c>
      <c r="D40" s="5">
        <v>45890.540972222225</v>
      </c>
      <c r="E40" s="5">
        <v>45890.55</v>
      </c>
      <c r="F40" s="6">
        <v>0.217</v>
      </c>
      <c r="G40" s="1" t="s">
        <v>51</v>
      </c>
      <c r="H40" s="6">
        <v>0</v>
      </c>
      <c r="I40" s="6">
        <v>0</v>
      </c>
      <c r="J40" s="1" t="s">
        <v>2</v>
      </c>
      <c r="K40" s="1" t="s">
        <v>22</v>
      </c>
      <c r="L40" s="6">
        <v>0</v>
      </c>
      <c r="M40" s="6"/>
      <c r="N40" s="6"/>
      <c r="O40" s="6"/>
      <c r="P40" s="6" t="str">
        <f>IF(OR(Tableau1[[#This Row],[Projet ou client]]="Léane",Tableau1[[#This Row],[Projet ou client]]="Valentine",Tableau1[[#This Row],[Projet ou client]]="Léon",Tableau1[[#This Row],[Projet ou client]]="Camille"),"Cours particuliers","Autre")</f>
        <v>Autre</v>
      </c>
    </row>
    <row r="41" spans="1:16" ht="28.9">
      <c r="A41" s="1" t="s">
        <v>50</v>
      </c>
      <c r="B41" s="4">
        <v>45890.569444444445</v>
      </c>
      <c r="C41" s="40">
        <f>Tableau1[[#This Row],[Date de début]]</f>
        <v>45890.569444444445</v>
      </c>
      <c r="D41" s="5">
        <v>45890.569444444445</v>
      </c>
      <c r="E41" s="5">
        <v>45890.712500000001</v>
      </c>
      <c r="F41" s="6">
        <v>2.7159999999999997</v>
      </c>
      <c r="G41" s="1" t="s">
        <v>52</v>
      </c>
      <c r="H41" s="6">
        <v>0</v>
      </c>
      <c r="I41" s="6">
        <v>0</v>
      </c>
      <c r="J41" s="1" t="s">
        <v>2</v>
      </c>
      <c r="K41" s="1" t="s">
        <v>22</v>
      </c>
      <c r="L41" s="6">
        <v>0</v>
      </c>
      <c r="M41" s="6"/>
      <c r="N41" s="6"/>
      <c r="O41" s="6"/>
      <c r="P41" s="6" t="str">
        <f>IF(OR(Tableau1[[#This Row],[Projet ou client]]="Léane",Tableau1[[#This Row],[Projet ou client]]="Valentine",Tableau1[[#This Row],[Projet ou client]]="Léon",Tableau1[[#This Row],[Projet ou client]]="Camille"),"Cours particuliers","Autre")</f>
        <v>Autre</v>
      </c>
    </row>
    <row r="42" spans="1:16" ht="28.9">
      <c r="A42" s="1" t="s">
        <v>50</v>
      </c>
      <c r="B42" s="4">
        <v>45891.359027777777</v>
      </c>
      <c r="C42" s="40">
        <f>Tableau1[[#This Row],[Date de début]]</f>
        <v>45891.359027777777</v>
      </c>
      <c r="D42" s="5">
        <v>45891.359027777777</v>
      </c>
      <c r="E42" s="5">
        <v>45891.406944444447</v>
      </c>
      <c r="F42" s="6">
        <v>1.0669999999999999</v>
      </c>
      <c r="G42" s="1" t="s">
        <v>29</v>
      </c>
      <c r="H42" s="6">
        <v>0</v>
      </c>
      <c r="I42" s="6">
        <v>0</v>
      </c>
      <c r="J42" s="1" t="s">
        <v>2</v>
      </c>
      <c r="K42" s="1" t="s">
        <v>22</v>
      </c>
      <c r="L42" s="6">
        <v>0</v>
      </c>
      <c r="M42" s="6"/>
      <c r="N42" s="6"/>
      <c r="O42" s="6"/>
      <c r="P42" s="6" t="str">
        <f>IF(OR(Tableau1[[#This Row],[Projet ou client]]="Léane",Tableau1[[#This Row],[Projet ou client]]="Valentine",Tableau1[[#This Row],[Projet ou client]]="Léon",Tableau1[[#This Row],[Projet ou client]]="Camille"),"Cours particuliers","Autre")</f>
        <v>Autre</v>
      </c>
    </row>
    <row r="43" spans="1:16" ht="28.9">
      <c r="A43" s="1" t="s">
        <v>50</v>
      </c>
      <c r="B43" s="4">
        <v>45891.409722222219</v>
      </c>
      <c r="C43" s="40">
        <f>Tableau1[[#This Row],[Date de début]]</f>
        <v>45891.409722222219</v>
      </c>
      <c r="D43" s="5">
        <v>45891.409722222219</v>
      </c>
      <c r="E43" s="5">
        <v>45891.470138888893</v>
      </c>
      <c r="F43" s="6">
        <v>1.45</v>
      </c>
      <c r="G43" s="1" t="s">
        <v>53</v>
      </c>
      <c r="H43" s="6">
        <v>0</v>
      </c>
      <c r="I43" s="6">
        <v>0</v>
      </c>
      <c r="J43" s="1" t="s">
        <v>2</v>
      </c>
      <c r="K43" s="1" t="s">
        <v>22</v>
      </c>
      <c r="L43" s="6">
        <v>0</v>
      </c>
      <c r="M43" s="6"/>
      <c r="N43" s="6"/>
      <c r="O43" s="6"/>
      <c r="P43" s="6" t="str">
        <f>IF(OR(Tableau1[[#This Row],[Projet ou client]]="Léane",Tableau1[[#This Row],[Projet ou client]]="Valentine",Tableau1[[#This Row],[Projet ou client]]="Léon",Tableau1[[#This Row],[Projet ou client]]="Camille"),"Cours particuliers","Autre")</f>
        <v>Autre</v>
      </c>
    </row>
    <row r="44" spans="1:16" ht="28.9">
      <c r="A44" s="1" t="s">
        <v>50</v>
      </c>
      <c r="B44" s="4">
        <v>45891.492361111115</v>
      </c>
      <c r="C44" s="40">
        <f>Tableau1[[#This Row],[Date de début]]</f>
        <v>45891.492361111115</v>
      </c>
      <c r="D44" s="5">
        <v>45891.492361111115</v>
      </c>
      <c r="E44" s="5">
        <v>45891.505555555559</v>
      </c>
      <c r="F44" s="6">
        <v>0.317</v>
      </c>
      <c r="G44" s="1" t="s">
        <v>30</v>
      </c>
      <c r="H44" s="6">
        <v>0</v>
      </c>
      <c r="I44" s="6">
        <v>0</v>
      </c>
      <c r="J44" s="1" t="s">
        <v>2</v>
      </c>
      <c r="K44" s="1" t="s">
        <v>22</v>
      </c>
      <c r="L44" s="6">
        <v>0</v>
      </c>
      <c r="M44" s="6"/>
      <c r="N44" s="6"/>
      <c r="O44" s="6"/>
      <c r="P44" s="6" t="str">
        <f>IF(OR(Tableau1[[#This Row],[Projet ou client]]="Léane",Tableau1[[#This Row],[Projet ou client]]="Valentine",Tableau1[[#This Row],[Projet ou client]]="Léon",Tableau1[[#This Row],[Projet ou client]]="Camille"),"Cours particuliers","Autre")</f>
        <v>Autre</v>
      </c>
    </row>
    <row r="45" spans="1:16" ht="43.15">
      <c r="A45" s="1" t="s">
        <v>54</v>
      </c>
      <c r="B45" s="4">
        <v>45891.607638888891</v>
      </c>
      <c r="C45" s="40">
        <f>Tableau1[[#This Row],[Date de début]]</f>
        <v>45891.607638888891</v>
      </c>
      <c r="D45" s="5">
        <v>45891.607638888891</v>
      </c>
      <c r="E45" s="5">
        <v>45891.62222222222</v>
      </c>
      <c r="F45" s="6">
        <v>0.35</v>
      </c>
      <c r="G45" s="1" t="s">
        <v>55</v>
      </c>
      <c r="H45" s="6">
        <v>0</v>
      </c>
      <c r="I45" s="6">
        <v>0</v>
      </c>
      <c r="J45" s="1" t="s">
        <v>56</v>
      </c>
      <c r="K45" s="1" t="s">
        <v>22</v>
      </c>
      <c r="L45" s="6">
        <v>0</v>
      </c>
      <c r="M45" s="6"/>
      <c r="N45" s="6"/>
      <c r="O45" s="6"/>
      <c r="P45" s="6" t="str">
        <f>IF(OR(Tableau1[[#This Row],[Projet ou client]]="Léane",Tableau1[[#This Row],[Projet ou client]]="Valentine",Tableau1[[#This Row],[Projet ou client]]="Léon",Tableau1[[#This Row],[Projet ou client]]="Camille"),"Cours particuliers","Autre")</f>
        <v>Autre</v>
      </c>
    </row>
    <row r="46" spans="1:16">
      <c r="A46" s="1" t="s">
        <v>38</v>
      </c>
      <c r="B46" s="4">
        <v>45891.62222222222</v>
      </c>
      <c r="C46" s="40">
        <f>Tableau1[[#This Row],[Date de début]]</f>
        <v>45891.62222222222</v>
      </c>
      <c r="D46" s="5">
        <v>45891.62222222222</v>
      </c>
      <c r="E46" s="5">
        <v>45891.625694444447</v>
      </c>
      <c r="F46" s="6">
        <v>8.3000000000000004E-2</v>
      </c>
      <c r="G46" s="1" t="s">
        <v>34</v>
      </c>
      <c r="H46" s="6">
        <v>0</v>
      </c>
      <c r="I46" s="6">
        <v>0</v>
      </c>
      <c r="J46" s="1" t="s">
        <v>2</v>
      </c>
      <c r="K46" s="1" t="s">
        <v>22</v>
      </c>
      <c r="L46" s="6">
        <v>0</v>
      </c>
      <c r="M46" s="6"/>
      <c r="N46" s="6"/>
      <c r="O46" s="6"/>
      <c r="P46" s="6" t="str">
        <f>IF(OR(Tableau1[[#This Row],[Projet ou client]]="Léane",Tableau1[[#This Row],[Projet ou client]]="Valentine",Tableau1[[#This Row],[Projet ou client]]="Léon",Tableau1[[#This Row],[Projet ou client]]="Camille"),"Cours particuliers","Autre")</f>
        <v>Autre</v>
      </c>
    </row>
    <row r="47" spans="1:16">
      <c r="A47" s="1" t="s">
        <v>25</v>
      </c>
      <c r="B47" s="4">
        <v>45891.626388888893</v>
      </c>
      <c r="C47" s="40">
        <f>Tableau1[[#This Row],[Date de début]]</f>
        <v>45891.626388888893</v>
      </c>
      <c r="D47" s="5">
        <v>45891.626388888893</v>
      </c>
      <c r="E47" s="5">
        <v>45891.630555555559</v>
      </c>
      <c r="F47" s="6">
        <v>0.1</v>
      </c>
      <c r="G47" s="1" t="s">
        <v>57</v>
      </c>
      <c r="H47" s="6">
        <v>0</v>
      </c>
      <c r="I47" s="6">
        <v>0</v>
      </c>
      <c r="J47" s="1" t="s">
        <v>2</v>
      </c>
      <c r="K47" s="1" t="s">
        <v>22</v>
      </c>
      <c r="L47" s="6">
        <v>0</v>
      </c>
      <c r="M47" s="6"/>
      <c r="N47" s="6"/>
      <c r="O47" s="6"/>
      <c r="P47" s="6" t="str">
        <f>IF(OR(Tableau1[[#This Row],[Projet ou client]]="Léane",Tableau1[[#This Row],[Projet ou client]]="Valentine",Tableau1[[#This Row],[Projet ou client]]="Léon",Tableau1[[#This Row],[Projet ou client]]="Camille"),"Cours particuliers","Autre")</f>
        <v>Autre</v>
      </c>
    </row>
    <row r="48" spans="1:16">
      <c r="A48" s="1" t="s">
        <v>23</v>
      </c>
      <c r="B48" s="4">
        <v>45891.629861111112</v>
      </c>
      <c r="C48" s="40">
        <f>Tableau1[[#This Row],[Date de début]]</f>
        <v>45891.629861111112</v>
      </c>
      <c r="D48" s="5">
        <v>45891.629861111112</v>
      </c>
      <c r="E48" s="5">
        <v>45891.781944444447</v>
      </c>
      <c r="F48" s="6">
        <v>3.2669999999999999</v>
      </c>
      <c r="G48" s="1" t="s">
        <v>58</v>
      </c>
      <c r="H48" s="6">
        <v>0</v>
      </c>
      <c r="I48" s="6">
        <v>0</v>
      </c>
      <c r="J48" s="1" t="s">
        <v>2</v>
      </c>
      <c r="K48" s="1" t="s">
        <v>22</v>
      </c>
      <c r="L48" s="6">
        <v>0</v>
      </c>
      <c r="M48" s="6"/>
      <c r="N48" s="6"/>
      <c r="O48" s="6"/>
      <c r="P48" s="6" t="str">
        <f>IF(OR(Tableau1[[#This Row],[Projet ou client]]="Léane",Tableau1[[#This Row],[Projet ou client]]="Valentine",Tableau1[[#This Row],[Projet ou client]]="Léon",Tableau1[[#This Row],[Projet ou client]]="Camille"),"Cours particuliers","Autre")</f>
        <v>Autre</v>
      </c>
    </row>
    <row r="49" spans="1:16">
      <c r="A49" s="1" t="s">
        <v>25</v>
      </c>
      <c r="B49" s="4">
        <v>45894.341666666667</v>
      </c>
      <c r="C49" s="40">
        <f>Tableau1[[#This Row],[Date de début]]</f>
        <v>45894.341666666667</v>
      </c>
      <c r="D49" s="5">
        <v>45894.341666666667</v>
      </c>
      <c r="E49" s="5">
        <v>45894.400694444441</v>
      </c>
      <c r="F49" s="6">
        <v>1.417</v>
      </c>
      <c r="G49" s="1" t="s">
        <v>59</v>
      </c>
      <c r="H49" s="6">
        <v>0</v>
      </c>
      <c r="I49" s="6">
        <v>0</v>
      </c>
      <c r="J49" s="1" t="s">
        <v>2</v>
      </c>
      <c r="K49" s="1" t="s">
        <v>22</v>
      </c>
      <c r="L49" s="6">
        <v>0</v>
      </c>
      <c r="M49" s="6"/>
      <c r="N49" s="6"/>
      <c r="O49" s="6"/>
      <c r="P49" s="6" t="str">
        <f>IF(OR(Tableau1[[#This Row],[Projet ou client]]="Léane",Tableau1[[#This Row],[Projet ou client]]="Valentine",Tableau1[[#This Row],[Projet ou client]]="Léon",Tableau1[[#This Row],[Projet ou client]]="Camille"),"Cours particuliers","Autre")</f>
        <v>Autre</v>
      </c>
    </row>
    <row r="50" spans="1:16">
      <c r="A50" s="1" t="s">
        <v>23</v>
      </c>
      <c r="B50" s="4">
        <v>45894.400694444441</v>
      </c>
      <c r="C50" s="40">
        <f>Tableau1[[#This Row],[Date de début]]</f>
        <v>45894.400694444441</v>
      </c>
      <c r="D50" s="5">
        <v>45894.400694444441</v>
      </c>
      <c r="E50" s="5">
        <v>45894.497916666667</v>
      </c>
      <c r="F50" s="6">
        <v>2.2000000000000002</v>
      </c>
      <c r="G50" s="1" t="s">
        <v>60</v>
      </c>
      <c r="H50" s="6">
        <v>0</v>
      </c>
      <c r="I50" s="6">
        <v>0</v>
      </c>
      <c r="J50" s="1" t="s">
        <v>2</v>
      </c>
      <c r="K50" s="1" t="s">
        <v>22</v>
      </c>
      <c r="L50" s="6">
        <v>0</v>
      </c>
      <c r="M50" s="6"/>
      <c r="N50" s="6"/>
      <c r="O50" s="6"/>
      <c r="P50" s="6" t="str">
        <f>IF(OR(Tableau1[[#This Row],[Projet ou client]]="Léane",Tableau1[[#This Row],[Projet ou client]]="Valentine",Tableau1[[#This Row],[Projet ou client]]="Léon",Tableau1[[#This Row],[Projet ou client]]="Camille"),"Cours particuliers","Autre")</f>
        <v>Autre</v>
      </c>
    </row>
    <row r="51" spans="1:16" ht="28.9">
      <c r="A51" s="1" t="s">
        <v>31</v>
      </c>
      <c r="B51" s="4">
        <v>45894.540972222225</v>
      </c>
      <c r="C51" s="40">
        <f>Tableau1[[#This Row],[Date de début]]</f>
        <v>45894.540972222225</v>
      </c>
      <c r="D51" s="5">
        <v>45894.540972222225</v>
      </c>
      <c r="E51" s="5">
        <v>45894.623611111107</v>
      </c>
      <c r="F51" s="6">
        <v>1.9000000000000001</v>
      </c>
      <c r="G51" s="1" t="s">
        <v>61</v>
      </c>
      <c r="H51" s="6">
        <v>0</v>
      </c>
      <c r="I51" s="6">
        <v>0</v>
      </c>
      <c r="J51" s="1" t="s">
        <v>2</v>
      </c>
      <c r="K51" s="1" t="s">
        <v>22</v>
      </c>
      <c r="L51" s="6">
        <v>0</v>
      </c>
      <c r="M51" s="6"/>
      <c r="N51" s="6"/>
      <c r="O51" s="6"/>
      <c r="P51" s="6" t="str">
        <f>IF(OR(Tableau1[[#This Row],[Projet ou client]]="Léane",Tableau1[[#This Row],[Projet ou client]]="Valentine",Tableau1[[#This Row],[Projet ou client]]="Léon",Tableau1[[#This Row],[Projet ou client]]="Camille"),"Cours particuliers","Autre")</f>
        <v>Autre</v>
      </c>
    </row>
    <row r="52" spans="1:16">
      <c r="A52" s="1" t="s">
        <v>20</v>
      </c>
      <c r="B52" s="4">
        <v>45894.71875</v>
      </c>
      <c r="C52" s="40">
        <f>Tableau1[[#This Row],[Date de début]]</f>
        <v>45894.71875</v>
      </c>
      <c r="D52" s="5">
        <v>45894.71875</v>
      </c>
      <c r="E52" s="5">
        <v>45894.743750000001</v>
      </c>
      <c r="F52" s="6">
        <v>0.6</v>
      </c>
      <c r="G52" s="1" t="s">
        <v>62</v>
      </c>
      <c r="H52" s="6">
        <v>0</v>
      </c>
      <c r="I52" s="6">
        <v>0</v>
      </c>
      <c r="J52" s="1" t="s">
        <v>63</v>
      </c>
      <c r="K52" s="1" t="s">
        <v>22</v>
      </c>
      <c r="L52" s="6">
        <v>0</v>
      </c>
      <c r="M52" s="6"/>
      <c r="N52" s="6"/>
      <c r="O52" s="6"/>
      <c r="P52" s="6" t="str">
        <f>IF(OR(Tableau1[[#This Row],[Projet ou client]]="Léane",Tableau1[[#This Row],[Projet ou client]]="Valentine",Tableau1[[#This Row],[Projet ou client]]="Léon",Tableau1[[#This Row],[Projet ou client]]="Camille"),"Cours particuliers","Autre")</f>
        <v>Autre</v>
      </c>
    </row>
    <row r="53" spans="1:16" ht="28.9">
      <c r="A53" s="1" t="s">
        <v>31</v>
      </c>
      <c r="B53" s="4">
        <v>45895.36319444445</v>
      </c>
      <c r="C53" s="40">
        <f>Tableau1[[#This Row],[Date de début]]</f>
        <v>45895.36319444445</v>
      </c>
      <c r="D53" s="5">
        <v>45895.36319444445</v>
      </c>
      <c r="E53" s="5">
        <v>45895.504166666666</v>
      </c>
      <c r="F53" s="6">
        <v>3.0830000000000002</v>
      </c>
      <c r="G53" s="1" t="s">
        <v>64</v>
      </c>
      <c r="H53" s="6">
        <v>0</v>
      </c>
      <c r="I53" s="6">
        <v>0</v>
      </c>
      <c r="J53" s="1" t="s">
        <v>65</v>
      </c>
      <c r="K53" s="1" t="s">
        <v>22</v>
      </c>
      <c r="L53" s="6">
        <v>0</v>
      </c>
      <c r="M53" s="6"/>
      <c r="N53" s="6"/>
      <c r="O53" s="6"/>
      <c r="P53" s="6" t="str">
        <f>IF(OR(Tableau1[[#This Row],[Projet ou client]]="Léane",Tableau1[[#This Row],[Projet ou client]]="Valentine",Tableau1[[#This Row],[Projet ou client]]="Léon",Tableau1[[#This Row],[Projet ou client]]="Camille"),"Cours particuliers","Autre")</f>
        <v>Autre</v>
      </c>
    </row>
    <row r="54" spans="1:16">
      <c r="A54" s="1" t="s">
        <v>25</v>
      </c>
      <c r="B54" s="4">
        <v>45895.572222222225</v>
      </c>
      <c r="C54" s="40">
        <f>Tableau1[[#This Row],[Date de début]]</f>
        <v>45895.572222222225</v>
      </c>
      <c r="D54" s="5">
        <v>45895.572222222225</v>
      </c>
      <c r="E54" s="5">
        <v>45895.582638888889</v>
      </c>
      <c r="F54" s="6">
        <v>0.25</v>
      </c>
      <c r="G54" s="1" t="s">
        <v>66</v>
      </c>
      <c r="H54" s="6">
        <v>0</v>
      </c>
      <c r="I54" s="6">
        <v>0</v>
      </c>
      <c r="J54" s="1" t="s">
        <v>2</v>
      </c>
      <c r="K54" s="1" t="s">
        <v>22</v>
      </c>
      <c r="L54" s="6">
        <v>0</v>
      </c>
      <c r="M54" s="6"/>
      <c r="N54" s="6"/>
      <c r="O54" s="6"/>
      <c r="P54" s="6" t="str">
        <f>IF(OR(Tableau1[[#This Row],[Projet ou client]]="Léane",Tableau1[[#This Row],[Projet ou client]]="Valentine",Tableau1[[#This Row],[Projet ou client]]="Léon",Tableau1[[#This Row],[Projet ou client]]="Camille"),"Cours particuliers","Autre")</f>
        <v>Autre</v>
      </c>
    </row>
    <row r="55" spans="1:16" ht="28.9">
      <c r="A55" s="1" t="s">
        <v>50</v>
      </c>
      <c r="B55" s="4">
        <v>45895.582638888889</v>
      </c>
      <c r="C55" s="40">
        <f>Tableau1[[#This Row],[Date de début]]</f>
        <v>45895.582638888889</v>
      </c>
      <c r="D55" s="5">
        <v>45895.582638888889</v>
      </c>
      <c r="E55" s="5">
        <v>45895.643750000003</v>
      </c>
      <c r="F55" s="6">
        <v>1.4670000000000001</v>
      </c>
      <c r="G55" s="1" t="s">
        <v>67</v>
      </c>
      <c r="H55" s="6">
        <v>0</v>
      </c>
      <c r="I55" s="6">
        <v>0</v>
      </c>
      <c r="J55" s="1" t="s">
        <v>2</v>
      </c>
      <c r="K55" s="1" t="s">
        <v>22</v>
      </c>
      <c r="L55" s="6">
        <v>0</v>
      </c>
      <c r="M55" s="6"/>
      <c r="N55" s="6"/>
      <c r="O55" s="6"/>
      <c r="P55" s="6" t="str">
        <f>IF(OR(Tableau1[[#This Row],[Projet ou client]]="Léane",Tableau1[[#This Row],[Projet ou client]]="Valentine",Tableau1[[#This Row],[Projet ou client]]="Léon",Tableau1[[#This Row],[Projet ou client]]="Camille"),"Cours particuliers","Autre")</f>
        <v>Autre</v>
      </c>
    </row>
    <row r="56" spans="1:16">
      <c r="A56" s="1" t="s">
        <v>20</v>
      </c>
      <c r="B56" s="4">
        <v>45896.38680555555</v>
      </c>
      <c r="C56" s="40">
        <f>Tableau1[[#This Row],[Date de début]]</f>
        <v>45896.38680555555</v>
      </c>
      <c r="D56" s="5">
        <v>45896.38680555555</v>
      </c>
      <c r="E56" s="5">
        <v>45896.416666666672</v>
      </c>
      <c r="F56" s="6">
        <v>0.71699999999999997</v>
      </c>
      <c r="G56" s="1" t="s">
        <v>68</v>
      </c>
      <c r="H56" s="6">
        <v>0</v>
      </c>
      <c r="I56" s="6">
        <v>0</v>
      </c>
      <c r="J56" s="1" t="s">
        <v>2</v>
      </c>
      <c r="K56" s="1" t="s">
        <v>22</v>
      </c>
      <c r="L56" s="6">
        <v>0</v>
      </c>
      <c r="M56" s="6"/>
      <c r="N56" s="6"/>
      <c r="O56" s="6"/>
      <c r="P56" s="6" t="str">
        <f>IF(OR(Tableau1[[#This Row],[Projet ou client]]="Léane",Tableau1[[#This Row],[Projet ou client]]="Valentine",Tableau1[[#This Row],[Projet ou client]]="Léon",Tableau1[[#This Row],[Projet ou client]]="Camille"),"Cours particuliers","Autre")</f>
        <v>Autre</v>
      </c>
    </row>
    <row r="57" spans="1:16" ht="28.9">
      <c r="A57" s="1" t="s">
        <v>50</v>
      </c>
      <c r="B57" s="4">
        <v>45896.436805555553</v>
      </c>
      <c r="C57" s="40">
        <f>Tableau1[[#This Row],[Date de début]]</f>
        <v>45896.436805555553</v>
      </c>
      <c r="D57" s="5">
        <v>45896.436805555553</v>
      </c>
      <c r="E57" s="5">
        <v>45896.506944444445</v>
      </c>
      <c r="F57" s="6">
        <v>1.6830000000000001</v>
      </c>
      <c r="G57" s="1" t="s">
        <v>44</v>
      </c>
      <c r="H57" s="6">
        <v>0</v>
      </c>
      <c r="I57" s="6">
        <v>0</v>
      </c>
      <c r="J57" s="1" t="s">
        <v>2</v>
      </c>
      <c r="K57" s="1" t="s">
        <v>22</v>
      </c>
      <c r="L57" s="6">
        <v>0</v>
      </c>
      <c r="M57" s="6"/>
      <c r="N57" s="6"/>
      <c r="O57" s="6"/>
      <c r="P57" s="6" t="str">
        <f>IF(OR(Tableau1[[#This Row],[Projet ou client]]="Léane",Tableau1[[#This Row],[Projet ou client]]="Valentine",Tableau1[[#This Row],[Projet ou client]]="Léon",Tableau1[[#This Row],[Projet ou client]]="Camille"),"Cours particuliers","Autre")</f>
        <v>Autre</v>
      </c>
    </row>
    <row r="58" spans="1:16" ht="28.9">
      <c r="A58" s="1" t="s">
        <v>69</v>
      </c>
      <c r="B58" s="4">
        <v>45896.506944444445</v>
      </c>
      <c r="C58" s="40">
        <f>Tableau1[[#This Row],[Date de début]]</f>
        <v>45896.506944444445</v>
      </c>
      <c r="D58" s="5">
        <v>45896.506944444445</v>
      </c>
      <c r="E58" s="5">
        <v>45896.535416666666</v>
      </c>
      <c r="F58" s="6">
        <v>0.68300000000000005</v>
      </c>
      <c r="G58" s="1" t="s">
        <v>70</v>
      </c>
      <c r="H58" s="6">
        <v>0</v>
      </c>
      <c r="I58" s="6">
        <v>0</v>
      </c>
      <c r="J58" s="1" t="s">
        <v>2</v>
      </c>
      <c r="K58" s="1" t="s">
        <v>22</v>
      </c>
      <c r="L58" s="6">
        <v>0</v>
      </c>
      <c r="M58" s="6"/>
      <c r="N58" s="6"/>
      <c r="O58" s="6"/>
      <c r="P58" s="6" t="str">
        <f>IF(OR(Tableau1[[#This Row],[Projet ou client]]="Léane",Tableau1[[#This Row],[Projet ou client]]="Valentine",Tableau1[[#This Row],[Projet ou client]]="Léon",Tableau1[[#This Row],[Projet ou client]]="Camille"),"Cours particuliers","Autre")</f>
        <v>Autre</v>
      </c>
    </row>
    <row r="59" spans="1:16" ht="43.15">
      <c r="A59" s="1" t="s">
        <v>54</v>
      </c>
      <c r="B59" s="4">
        <v>45896.576388888891</v>
      </c>
      <c r="C59" s="40">
        <f>Tableau1[[#This Row],[Date de début]]</f>
        <v>45896.576388888891</v>
      </c>
      <c r="D59" s="5">
        <v>45896.576388888891</v>
      </c>
      <c r="E59" s="5">
        <v>45896.585416666669</v>
      </c>
      <c r="F59" s="6">
        <v>0.217</v>
      </c>
      <c r="G59" s="1" t="s">
        <v>51</v>
      </c>
      <c r="H59" s="6">
        <v>0</v>
      </c>
      <c r="I59" s="6">
        <v>0</v>
      </c>
      <c r="J59" s="1" t="s">
        <v>2</v>
      </c>
      <c r="K59" s="1" t="s">
        <v>22</v>
      </c>
      <c r="L59" s="6">
        <v>0</v>
      </c>
      <c r="M59" s="6"/>
      <c r="N59" s="6"/>
      <c r="O59" s="6"/>
      <c r="P59" s="6" t="str">
        <f>IF(OR(Tableau1[[#This Row],[Projet ou client]]="Léane",Tableau1[[#This Row],[Projet ou client]]="Valentine",Tableau1[[#This Row],[Projet ou client]]="Léon",Tableau1[[#This Row],[Projet ou client]]="Camille"),"Cours particuliers","Autre")</f>
        <v>Autre</v>
      </c>
    </row>
    <row r="60" spans="1:16">
      <c r="A60" s="1" t="s">
        <v>71</v>
      </c>
      <c r="B60" s="4">
        <v>45896.606944444444</v>
      </c>
      <c r="C60" s="40">
        <f>Tableau1[[#This Row],[Date de début]]</f>
        <v>45896.606944444444</v>
      </c>
      <c r="D60" s="5">
        <v>45896.606944444444</v>
      </c>
      <c r="E60" s="5">
        <v>45896.668749999997</v>
      </c>
      <c r="F60" s="6">
        <v>1.4830000000000001</v>
      </c>
      <c r="G60" s="1" t="s">
        <v>72</v>
      </c>
      <c r="H60" s="6">
        <v>40</v>
      </c>
      <c r="I60" s="6">
        <v>0</v>
      </c>
      <c r="J60" s="1" t="s">
        <v>2</v>
      </c>
      <c r="K60" s="1" t="s">
        <v>22</v>
      </c>
      <c r="L60" s="6">
        <v>59.320000000000007</v>
      </c>
      <c r="M60" s="6"/>
      <c r="N60" s="6"/>
      <c r="O60" s="6"/>
      <c r="P60" s="6" t="str">
        <f>IF(OR(Tableau1[[#This Row],[Projet ou client]]="Léane",Tableau1[[#This Row],[Projet ou client]]="Valentine",Tableau1[[#This Row],[Projet ou client]]="Léon",Tableau1[[#This Row],[Projet ou client]]="Camille"),"Cours particuliers","Autre")</f>
        <v>Cours particuliers</v>
      </c>
    </row>
    <row r="61" spans="1:16">
      <c r="A61" s="1" t="s">
        <v>25</v>
      </c>
      <c r="B61" s="4">
        <v>45897.392361111109</v>
      </c>
      <c r="C61" s="40">
        <f>Tableau1[[#This Row],[Date de début]]</f>
        <v>45897.392361111109</v>
      </c>
      <c r="D61" s="5">
        <v>45897.392361111109</v>
      </c>
      <c r="E61" s="5">
        <v>45897.438194444447</v>
      </c>
      <c r="F61" s="6">
        <v>1.0330000000000001</v>
      </c>
      <c r="G61" s="1" t="s">
        <v>73</v>
      </c>
      <c r="H61" s="6">
        <v>0</v>
      </c>
      <c r="I61" s="6">
        <v>0</v>
      </c>
      <c r="J61" s="1" t="s">
        <v>2</v>
      </c>
      <c r="K61" s="1" t="s">
        <v>22</v>
      </c>
      <c r="L61" s="6">
        <v>0</v>
      </c>
      <c r="M61" s="6"/>
      <c r="N61" s="6"/>
      <c r="O61" s="6"/>
      <c r="P61" s="6" t="str">
        <f>IF(OR(Tableau1[[#This Row],[Projet ou client]]="Léane",Tableau1[[#This Row],[Projet ou client]]="Valentine",Tableau1[[#This Row],[Projet ou client]]="Léon",Tableau1[[#This Row],[Projet ou client]]="Camille"),"Cours particuliers","Autre")</f>
        <v>Autre</v>
      </c>
    </row>
    <row r="62" spans="1:16">
      <c r="A62" s="1" t="s">
        <v>38</v>
      </c>
      <c r="B62" s="4">
        <v>45897.438194444447</v>
      </c>
      <c r="C62" s="40">
        <f>Tableau1[[#This Row],[Date de début]]</f>
        <v>45897.438194444447</v>
      </c>
      <c r="D62" s="5">
        <v>45897.438194444447</v>
      </c>
      <c r="E62" s="5">
        <v>45897.456250000003</v>
      </c>
      <c r="F62" s="6">
        <v>0.433</v>
      </c>
      <c r="G62" s="1" t="s">
        <v>74</v>
      </c>
      <c r="H62" s="6">
        <v>0</v>
      </c>
      <c r="I62" s="6">
        <v>0</v>
      </c>
      <c r="J62" s="1" t="s">
        <v>2</v>
      </c>
      <c r="K62" s="1" t="s">
        <v>22</v>
      </c>
      <c r="L62" s="6">
        <v>0</v>
      </c>
      <c r="M62" s="6"/>
      <c r="N62" s="6"/>
      <c r="O62" s="6"/>
      <c r="P62" s="6" t="str">
        <f>IF(OR(Tableau1[[#This Row],[Projet ou client]]="Léane",Tableau1[[#This Row],[Projet ou client]]="Valentine",Tableau1[[#This Row],[Projet ou client]]="Léon",Tableau1[[#This Row],[Projet ou client]]="Camille"),"Cours particuliers","Autre")</f>
        <v>Autre</v>
      </c>
    </row>
    <row r="63" spans="1:16">
      <c r="A63" s="1" t="s">
        <v>75</v>
      </c>
      <c r="B63" s="4">
        <v>45897.458333333328</v>
      </c>
      <c r="C63" s="40">
        <f>Tableau1[[#This Row],[Date de début]]</f>
        <v>45897.458333333328</v>
      </c>
      <c r="D63" s="5">
        <v>45897.458333333328</v>
      </c>
      <c r="E63" s="5">
        <v>45897.495138888888</v>
      </c>
      <c r="F63" s="6">
        <v>0.88300000000000001</v>
      </c>
      <c r="G63" s="1" t="s">
        <v>76</v>
      </c>
      <c r="H63" s="6">
        <v>0</v>
      </c>
      <c r="I63" s="6">
        <v>0</v>
      </c>
      <c r="J63" s="1" t="s">
        <v>77</v>
      </c>
      <c r="K63" s="1" t="s">
        <v>22</v>
      </c>
      <c r="L63" s="6">
        <v>0</v>
      </c>
      <c r="M63" s="6"/>
      <c r="N63" s="6"/>
      <c r="O63" s="6"/>
      <c r="P63" s="6" t="str">
        <f>IF(OR(Tableau1[[#This Row],[Projet ou client]]="Léane",Tableau1[[#This Row],[Projet ou client]]="Valentine",Tableau1[[#This Row],[Projet ou client]]="Léon",Tableau1[[#This Row],[Projet ou client]]="Camille"),"Cours particuliers","Autre")</f>
        <v>Autre</v>
      </c>
    </row>
    <row r="64" spans="1:16">
      <c r="A64" s="1" t="s">
        <v>38</v>
      </c>
      <c r="B64" s="4">
        <v>45897.495138888888</v>
      </c>
      <c r="C64" s="40">
        <f>Tableau1[[#This Row],[Date de début]]</f>
        <v>45897.495138888888</v>
      </c>
      <c r="D64" s="5">
        <v>45897.495138888888</v>
      </c>
      <c r="E64" s="5">
        <v>45897.502083333333</v>
      </c>
      <c r="F64" s="6">
        <v>0.16700000000000001</v>
      </c>
      <c r="G64" s="1" t="s">
        <v>37</v>
      </c>
      <c r="H64" s="6">
        <v>0</v>
      </c>
      <c r="I64" s="6">
        <v>0</v>
      </c>
      <c r="J64" s="1" t="s">
        <v>2</v>
      </c>
      <c r="K64" s="1" t="s">
        <v>22</v>
      </c>
      <c r="L64" s="6">
        <v>0</v>
      </c>
      <c r="M64" s="6"/>
      <c r="N64" s="6"/>
      <c r="O64" s="6"/>
      <c r="P64" s="6" t="str">
        <f>IF(OR(Tableau1[[#This Row],[Projet ou client]]="Léane",Tableau1[[#This Row],[Projet ou client]]="Valentine",Tableau1[[#This Row],[Projet ou client]]="Léon",Tableau1[[#This Row],[Projet ou client]]="Camille"),"Cours particuliers","Autre")</f>
        <v>Autre</v>
      </c>
    </row>
    <row r="65" spans="1:16">
      <c r="A65" s="1" t="s">
        <v>78</v>
      </c>
      <c r="B65" s="4">
        <v>45897.503472222219</v>
      </c>
      <c r="C65" s="40">
        <f>Tableau1[[#This Row],[Date de début]]</f>
        <v>45897.503472222219</v>
      </c>
      <c r="D65" s="5">
        <v>45897.503472222219</v>
      </c>
      <c r="E65" s="5">
        <v>45897.524305555555</v>
      </c>
      <c r="F65" s="6">
        <v>0.5</v>
      </c>
      <c r="G65" s="1" t="s">
        <v>79</v>
      </c>
      <c r="H65" s="6">
        <v>0</v>
      </c>
      <c r="I65" s="6">
        <v>0</v>
      </c>
      <c r="J65" s="1" t="s">
        <v>2</v>
      </c>
      <c r="K65" s="1" t="s">
        <v>22</v>
      </c>
      <c r="L65" s="6">
        <v>0</v>
      </c>
      <c r="M65" s="6"/>
      <c r="N65" s="6"/>
      <c r="O65" s="6"/>
      <c r="P65" s="6" t="str">
        <f>IF(OR(Tableau1[[#This Row],[Projet ou client]]="Léane",Tableau1[[#This Row],[Projet ou client]]="Valentine",Tableau1[[#This Row],[Projet ou client]]="Léon",Tableau1[[#This Row],[Projet ou client]]="Camille"),"Cours particuliers","Autre")</f>
        <v>Autre</v>
      </c>
    </row>
    <row r="66" spans="1:16">
      <c r="A66" s="1" t="s">
        <v>28</v>
      </c>
      <c r="B66" s="4">
        <v>45897.593055555553</v>
      </c>
      <c r="C66" s="40">
        <f>Tableau1[[#This Row],[Date de début]]</f>
        <v>45897.593055555553</v>
      </c>
      <c r="D66" s="5">
        <v>45897.593055555553</v>
      </c>
      <c r="E66" s="5">
        <v>45897.599305555559</v>
      </c>
      <c r="F66" s="6">
        <v>0.15</v>
      </c>
      <c r="G66" s="1" t="s">
        <v>80</v>
      </c>
      <c r="H66" s="6">
        <v>0</v>
      </c>
      <c r="I66" s="6">
        <v>0</v>
      </c>
      <c r="J66" s="1" t="s">
        <v>2</v>
      </c>
      <c r="K66" s="1" t="s">
        <v>22</v>
      </c>
      <c r="L66" s="6">
        <v>0</v>
      </c>
      <c r="M66" s="6"/>
      <c r="N66" s="6"/>
      <c r="O66" s="6"/>
      <c r="P66" s="6" t="str">
        <f>IF(OR(Tableau1[[#This Row],[Projet ou client]]="Léane",Tableau1[[#This Row],[Projet ou client]]="Valentine",Tableau1[[#This Row],[Projet ou client]]="Léon",Tableau1[[#This Row],[Projet ou client]]="Camille"),"Cours particuliers","Autre")</f>
        <v>Autre</v>
      </c>
    </row>
    <row r="67" spans="1:16" ht="28.9">
      <c r="A67" s="1" t="s">
        <v>31</v>
      </c>
      <c r="B67" s="4">
        <v>45897.599999999999</v>
      </c>
      <c r="C67" s="40">
        <f>Tableau1[[#This Row],[Date de début]]</f>
        <v>45897.599999999999</v>
      </c>
      <c r="D67" s="5">
        <v>45897.599999999999</v>
      </c>
      <c r="E67" s="5">
        <v>45897.679166666669</v>
      </c>
      <c r="F67" s="6">
        <v>1.833</v>
      </c>
      <c r="G67" s="1" t="s">
        <v>81</v>
      </c>
      <c r="H67" s="6">
        <v>0</v>
      </c>
      <c r="I67" s="6">
        <v>0</v>
      </c>
      <c r="J67" s="1" t="s">
        <v>82</v>
      </c>
      <c r="K67" s="1" t="s">
        <v>22</v>
      </c>
      <c r="L67" s="6">
        <v>0</v>
      </c>
      <c r="M67" s="6"/>
      <c r="N67" s="6"/>
      <c r="O67" s="6"/>
      <c r="P67" s="6" t="str">
        <f>IF(OR(Tableau1[[#This Row],[Projet ou client]]="Léane",Tableau1[[#This Row],[Projet ou client]]="Valentine",Tableau1[[#This Row],[Projet ou client]]="Léon",Tableau1[[#This Row],[Projet ou client]]="Camille"),"Cours particuliers","Autre")</f>
        <v>Autre</v>
      </c>
    </row>
    <row r="68" spans="1:16">
      <c r="A68" s="1" t="s">
        <v>25</v>
      </c>
      <c r="B68" s="4">
        <v>45897.691666666666</v>
      </c>
      <c r="C68" s="40">
        <f>Tableau1[[#This Row],[Date de début]]</f>
        <v>45897.691666666666</v>
      </c>
      <c r="D68" s="5">
        <v>45897.691666666666</v>
      </c>
      <c r="E68" s="5">
        <v>45897.703472222223</v>
      </c>
      <c r="F68" s="6">
        <v>0.28299999999999997</v>
      </c>
      <c r="G68" s="1" t="s">
        <v>83</v>
      </c>
      <c r="H68" s="6">
        <v>0</v>
      </c>
      <c r="I68" s="6">
        <v>0</v>
      </c>
      <c r="J68" s="1" t="s">
        <v>2</v>
      </c>
      <c r="K68" s="1" t="s">
        <v>22</v>
      </c>
      <c r="L68" s="6">
        <v>0</v>
      </c>
      <c r="M68" s="6"/>
      <c r="N68" s="6"/>
      <c r="O68" s="6"/>
      <c r="P68" s="6" t="str">
        <f>IF(OR(Tableau1[[#This Row],[Projet ou client]]="Léane",Tableau1[[#This Row],[Projet ou client]]="Valentine",Tableau1[[#This Row],[Projet ou client]]="Léon",Tableau1[[#This Row],[Projet ou client]]="Camille"),"Cours particuliers","Autre")</f>
        <v>Autre</v>
      </c>
    </row>
    <row r="69" spans="1:16">
      <c r="A69" s="1" t="s">
        <v>84</v>
      </c>
      <c r="B69" s="4">
        <v>45897.710416666669</v>
      </c>
      <c r="C69" s="40">
        <f>Tableau1[[#This Row],[Date de début]]</f>
        <v>45897.710416666669</v>
      </c>
      <c r="D69" s="5">
        <v>45897.710416666669</v>
      </c>
      <c r="E69" s="5">
        <v>45897.738888888889</v>
      </c>
      <c r="F69" s="6">
        <v>0.68300000000000005</v>
      </c>
      <c r="G69" s="1" t="s">
        <v>70</v>
      </c>
      <c r="H69" s="6">
        <v>0</v>
      </c>
      <c r="I69" s="6">
        <v>0</v>
      </c>
      <c r="J69" s="1" t="s">
        <v>2</v>
      </c>
      <c r="K69" s="1" t="s">
        <v>22</v>
      </c>
      <c r="L69" s="6">
        <v>0</v>
      </c>
      <c r="M69" s="6"/>
      <c r="N69" s="6"/>
      <c r="O69" s="6"/>
      <c r="P69" s="6" t="str">
        <f>IF(OR(Tableau1[[#This Row],[Projet ou client]]="Léane",Tableau1[[#This Row],[Projet ou client]]="Valentine",Tableau1[[#This Row],[Projet ou client]]="Léon",Tableau1[[#This Row],[Projet ou client]]="Camille"),"Cours particuliers","Autre")</f>
        <v>Autre</v>
      </c>
    </row>
    <row r="70" spans="1:16">
      <c r="A70" s="1" t="s">
        <v>84</v>
      </c>
      <c r="B70" s="4">
        <v>45898.374305555553</v>
      </c>
      <c r="C70" s="40">
        <f>Tableau1[[#This Row],[Date de début]]</f>
        <v>45898.374305555553</v>
      </c>
      <c r="D70" s="5">
        <v>45898.374305555553</v>
      </c>
      <c r="E70" s="5">
        <v>45898.46875</v>
      </c>
      <c r="F70" s="6">
        <v>2.2669999999999999</v>
      </c>
      <c r="G70" s="1" t="s">
        <v>85</v>
      </c>
      <c r="H70" s="6">
        <v>0</v>
      </c>
      <c r="I70" s="6">
        <v>0</v>
      </c>
      <c r="J70" s="1" t="s">
        <v>2</v>
      </c>
      <c r="K70" s="1" t="s">
        <v>22</v>
      </c>
      <c r="L70" s="6">
        <v>0</v>
      </c>
      <c r="M70" s="6"/>
      <c r="N70" s="6"/>
      <c r="O70" s="6"/>
      <c r="P70" s="6" t="str">
        <f>IF(OR(Tableau1[[#This Row],[Projet ou client]]="Léane",Tableau1[[#This Row],[Projet ou client]]="Valentine",Tableau1[[#This Row],[Projet ou client]]="Léon",Tableau1[[#This Row],[Projet ou client]]="Camille"),"Cours particuliers","Autre")</f>
        <v>Autre</v>
      </c>
    </row>
    <row r="71" spans="1:16">
      <c r="A71" s="1" t="s">
        <v>20</v>
      </c>
      <c r="B71" s="4">
        <v>45898.486111111109</v>
      </c>
      <c r="C71" s="40">
        <f>Tableau1[[#This Row],[Date de début]]</f>
        <v>45898.486111111109</v>
      </c>
      <c r="D71" s="5">
        <v>45898.486111111109</v>
      </c>
      <c r="E71" s="5">
        <v>45898.490277777775</v>
      </c>
      <c r="F71" s="6">
        <v>0.1</v>
      </c>
      <c r="G71" s="1" t="s">
        <v>57</v>
      </c>
      <c r="H71" s="6">
        <v>0</v>
      </c>
      <c r="I71" s="6">
        <v>0</v>
      </c>
      <c r="J71" s="1" t="s">
        <v>2</v>
      </c>
      <c r="K71" s="1" t="s">
        <v>22</v>
      </c>
      <c r="L71" s="6">
        <v>0</v>
      </c>
      <c r="M71" s="6"/>
      <c r="N71" s="6"/>
      <c r="O71" s="6"/>
      <c r="P71" s="6" t="str">
        <f>IF(OR(Tableau1[[#This Row],[Projet ou client]]="Léane",Tableau1[[#This Row],[Projet ou client]]="Valentine",Tableau1[[#This Row],[Projet ou client]]="Léon",Tableau1[[#This Row],[Projet ou client]]="Camille"),"Cours particuliers","Autre")</f>
        <v>Autre</v>
      </c>
    </row>
    <row r="72" spans="1:16">
      <c r="A72" s="1" t="s">
        <v>20</v>
      </c>
      <c r="B72" s="4">
        <v>45898.914583333331</v>
      </c>
      <c r="C72" s="40">
        <f>Tableau1[[#This Row],[Date de début]]</f>
        <v>45898.914583333331</v>
      </c>
      <c r="D72" s="5">
        <v>45898.914583333331</v>
      </c>
      <c r="E72" s="5">
        <v>45898.920138888891</v>
      </c>
      <c r="F72" s="6">
        <v>0.13300000000000001</v>
      </c>
      <c r="G72" s="1" t="s">
        <v>86</v>
      </c>
      <c r="H72" s="6">
        <v>0</v>
      </c>
      <c r="I72" s="6">
        <v>0</v>
      </c>
      <c r="J72" s="1" t="s">
        <v>2</v>
      </c>
      <c r="K72" s="1" t="s">
        <v>22</v>
      </c>
      <c r="L72" s="6">
        <v>0</v>
      </c>
      <c r="M72" s="6"/>
      <c r="N72" s="6"/>
      <c r="O72" s="6"/>
      <c r="P72" s="6" t="str">
        <f>IF(OR(Tableau1[[#This Row],[Projet ou client]]="Léane",Tableau1[[#This Row],[Projet ou client]]="Valentine",Tableau1[[#This Row],[Projet ou client]]="Léon",Tableau1[[#This Row],[Projet ou client]]="Camille"),"Cours particuliers","Autre")</f>
        <v>Autre</v>
      </c>
    </row>
    <row r="73" spans="1:16">
      <c r="A73" s="1" t="s">
        <v>87</v>
      </c>
      <c r="B73" s="4">
        <v>45901.463194444441</v>
      </c>
      <c r="C73" s="40">
        <f>Tableau1[[#This Row],[Date de début]]</f>
        <v>45901.463194444441</v>
      </c>
      <c r="D73" s="5">
        <v>45901.463194444441</v>
      </c>
      <c r="E73" s="5">
        <v>45901.470833333333</v>
      </c>
      <c r="F73" s="6">
        <v>0.183</v>
      </c>
      <c r="G73" s="1" t="s">
        <v>39</v>
      </c>
      <c r="H73" s="6">
        <v>0</v>
      </c>
      <c r="I73" s="6">
        <v>0</v>
      </c>
      <c r="J73" s="1" t="s">
        <v>2</v>
      </c>
      <c r="K73" s="1" t="s">
        <v>22</v>
      </c>
      <c r="L73" s="6">
        <v>0</v>
      </c>
      <c r="M73" s="6"/>
      <c r="N73" s="6"/>
      <c r="O73" s="6"/>
      <c r="P73" s="6" t="str">
        <f>IF(OR(Tableau1[[#This Row],[Projet ou client]]="Léane",Tableau1[[#This Row],[Projet ou client]]="Valentine",Tableau1[[#This Row],[Projet ou client]]="Léon",Tableau1[[#This Row],[Projet ou client]]="Camille"),"Cours particuliers","Autre")</f>
        <v>Autre</v>
      </c>
    </row>
    <row r="74" spans="1:16">
      <c r="A74" s="1" t="s">
        <v>88</v>
      </c>
      <c r="B74" s="4">
        <v>45901.470833333333</v>
      </c>
      <c r="C74" s="40">
        <f>Tableau1[[#This Row],[Date de début]]</f>
        <v>45901.470833333333</v>
      </c>
      <c r="D74" s="5">
        <v>45901.470833333333</v>
      </c>
      <c r="E74" s="5">
        <v>45901.754166666666</v>
      </c>
      <c r="F74" s="6">
        <v>6.2329999999999997</v>
      </c>
      <c r="G74" s="1" t="s">
        <v>89</v>
      </c>
      <c r="H74" s="6">
        <v>0</v>
      </c>
      <c r="I74" s="6">
        <v>0</v>
      </c>
      <c r="J74" s="1" t="s">
        <v>2</v>
      </c>
      <c r="K74" s="1" t="s">
        <v>22</v>
      </c>
      <c r="L74" s="6">
        <v>0</v>
      </c>
      <c r="M74" s="6"/>
      <c r="N74" s="6"/>
      <c r="O74" s="6"/>
      <c r="P74" s="6" t="str">
        <f>IF(OR(Tableau1[[#This Row],[Projet ou client]]="Léane",Tableau1[[#This Row],[Projet ou client]]="Valentine",Tableau1[[#This Row],[Projet ou client]]="Léon",Tableau1[[#This Row],[Projet ou client]]="Camille"),"Cours particuliers","Autre")</f>
        <v>Autre</v>
      </c>
    </row>
    <row r="75" spans="1:16">
      <c r="A75" s="1" t="s">
        <v>88</v>
      </c>
      <c r="B75" s="4">
        <v>45902.338194444441</v>
      </c>
      <c r="C75" s="40">
        <f>Tableau1[[#This Row],[Date de début]]</f>
        <v>45902.338194444441</v>
      </c>
      <c r="D75" s="5">
        <v>45902.338194444441</v>
      </c>
      <c r="E75" s="5">
        <v>45902.736111111109</v>
      </c>
      <c r="F75" s="6">
        <v>8</v>
      </c>
      <c r="G75" s="1" t="s">
        <v>90</v>
      </c>
      <c r="H75" s="6">
        <v>0</v>
      </c>
      <c r="I75" s="6">
        <v>0</v>
      </c>
      <c r="J75" s="1" t="s">
        <v>2</v>
      </c>
      <c r="K75" s="1" t="s">
        <v>22</v>
      </c>
      <c r="L75" s="6">
        <v>0</v>
      </c>
      <c r="M75" s="6"/>
      <c r="N75" s="6"/>
      <c r="O75" s="6"/>
      <c r="P75" s="6" t="str">
        <f>IF(OR(Tableau1[[#This Row],[Projet ou client]]="Léane",Tableau1[[#This Row],[Projet ou client]]="Valentine",Tableau1[[#This Row],[Projet ou client]]="Léon",Tableau1[[#This Row],[Projet ou client]]="Camille"),"Cours particuliers","Autre")</f>
        <v>Autre</v>
      </c>
    </row>
    <row r="76" spans="1:16">
      <c r="A76" s="1" t="s">
        <v>88</v>
      </c>
      <c r="B76" s="4">
        <v>45903.336805555555</v>
      </c>
      <c r="C76" s="40">
        <f>Tableau1[[#This Row],[Date de début]]</f>
        <v>45903.336805555555</v>
      </c>
      <c r="D76" s="5">
        <v>45903.336805555555</v>
      </c>
      <c r="E76" s="5">
        <v>45903.722222222219</v>
      </c>
      <c r="F76" s="6">
        <v>7.4670000000000005</v>
      </c>
      <c r="G76" s="1" t="s">
        <v>91</v>
      </c>
      <c r="H76" s="6">
        <v>0</v>
      </c>
      <c r="I76" s="6">
        <v>0</v>
      </c>
      <c r="J76" s="1" t="s">
        <v>2</v>
      </c>
      <c r="K76" s="1" t="s">
        <v>22</v>
      </c>
      <c r="L76" s="6">
        <v>0</v>
      </c>
      <c r="M76" s="6"/>
      <c r="N76" s="6"/>
      <c r="O76" s="6"/>
      <c r="P76" s="6" t="str">
        <f>IF(OR(Tableau1[[#This Row],[Projet ou client]]="Léane",Tableau1[[#This Row],[Projet ou client]]="Valentine",Tableau1[[#This Row],[Projet ou client]]="Léon",Tableau1[[#This Row],[Projet ou client]]="Camille"),"Cours particuliers","Autre")</f>
        <v>Autre</v>
      </c>
    </row>
    <row r="77" spans="1:16">
      <c r="A77" s="1" t="s">
        <v>88</v>
      </c>
      <c r="B77" s="4">
        <v>45904.34375</v>
      </c>
      <c r="C77" s="40">
        <f>Tableau1[[#This Row],[Date de début]]</f>
        <v>45904.34375</v>
      </c>
      <c r="D77" s="5">
        <v>45904.34375</v>
      </c>
      <c r="E77" s="5">
        <v>45904.707638888889</v>
      </c>
      <c r="F77" s="6">
        <v>7.5660000000000007</v>
      </c>
      <c r="G77" s="1" t="s">
        <v>92</v>
      </c>
      <c r="H77" s="6">
        <v>0</v>
      </c>
      <c r="I77" s="6">
        <v>0</v>
      </c>
      <c r="J77" s="1" t="s">
        <v>2</v>
      </c>
      <c r="K77" s="1" t="s">
        <v>22</v>
      </c>
      <c r="L77" s="6">
        <v>0</v>
      </c>
      <c r="M77" s="6"/>
      <c r="N77" s="6"/>
      <c r="O77" s="6"/>
      <c r="P77" s="6" t="str">
        <f>IF(OR(Tableau1[[#This Row],[Projet ou client]]="Léane",Tableau1[[#This Row],[Projet ou client]]="Valentine",Tableau1[[#This Row],[Projet ou client]]="Léon",Tableau1[[#This Row],[Projet ou client]]="Camille"),"Cours particuliers","Autre")</f>
        <v>Autre</v>
      </c>
    </row>
    <row r="78" spans="1:16">
      <c r="A78" s="1" t="s">
        <v>88</v>
      </c>
      <c r="B78" s="4">
        <v>45904.715277777781</v>
      </c>
      <c r="C78" s="40">
        <f>Tableau1[[#This Row],[Date de début]]</f>
        <v>45904.715277777781</v>
      </c>
      <c r="D78" s="5">
        <v>45904.715277777781</v>
      </c>
      <c r="E78" s="5">
        <v>45904.72152777778</v>
      </c>
      <c r="F78" s="6">
        <v>0.15</v>
      </c>
      <c r="G78" s="1" t="s">
        <v>80</v>
      </c>
      <c r="H78" s="6">
        <v>0</v>
      </c>
      <c r="I78" s="6">
        <v>0</v>
      </c>
      <c r="J78" s="1" t="s">
        <v>2</v>
      </c>
      <c r="K78" s="1" t="s">
        <v>22</v>
      </c>
      <c r="L78" s="6">
        <v>0</v>
      </c>
      <c r="M78" s="6"/>
      <c r="N78" s="6"/>
      <c r="O78" s="6"/>
      <c r="P78" s="6" t="str">
        <f>IF(OR(Tableau1[[#This Row],[Projet ou client]]="Léane",Tableau1[[#This Row],[Projet ou client]]="Valentine",Tableau1[[#This Row],[Projet ou client]]="Léon",Tableau1[[#This Row],[Projet ou client]]="Camille"),"Cours particuliers","Autre")</f>
        <v>Autre</v>
      </c>
    </row>
    <row r="79" spans="1:16">
      <c r="A79" s="1" t="s">
        <v>23</v>
      </c>
      <c r="B79" s="4">
        <v>45904.771527777775</v>
      </c>
      <c r="C79" s="40">
        <f>Tableau1[[#This Row],[Date de début]]</f>
        <v>45904.771527777775</v>
      </c>
      <c r="D79" s="5">
        <v>45904.771527777775</v>
      </c>
      <c r="E79" s="5">
        <v>45904.805555555555</v>
      </c>
      <c r="F79" s="6">
        <v>0.81699999999999995</v>
      </c>
      <c r="G79" s="1" t="s">
        <v>93</v>
      </c>
      <c r="H79" s="6">
        <v>0</v>
      </c>
      <c r="I79" s="6">
        <v>0</v>
      </c>
      <c r="J79" s="1" t="s">
        <v>2</v>
      </c>
      <c r="K79" s="1" t="s">
        <v>22</v>
      </c>
      <c r="L79" s="6">
        <v>0</v>
      </c>
      <c r="M79" s="6"/>
      <c r="N79" s="6"/>
      <c r="O79" s="6"/>
      <c r="P79" s="6" t="str">
        <f>IF(OR(Tableau1[[#This Row],[Projet ou client]]="Léane",Tableau1[[#This Row],[Projet ou client]]="Valentine",Tableau1[[#This Row],[Projet ou client]]="Léon",Tableau1[[#This Row],[Projet ou client]]="Camille"),"Cours particuliers","Autre")</f>
        <v>Autre</v>
      </c>
    </row>
    <row r="80" spans="1:16">
      <c r="A80" s="1" t="s">
        <v>20</v>
      </c>
      <c r="B80" s="4">
        <v>45904.805555555555</v>
      </c>
      <c r="C80" s="40">
        <f>Tableau1[[#This Row],[Date de début]]</f>
        <v>45904.805555555555</v>
      </c>
      <c r="D80" s="5">
        <v>45904.805555555555</v>
      </c>
      <c r="E80" s="5">
        <v>45904.81527777778</v>
      </c>
      <c r="F80" s="6">
        <v>0.23300000000000001</v>
      </c>
      <c r="G80" s="1" t="s">
        <v>94</v>
      </c>
      <c r="H80" s="6">
        <v>0</v>
      </c>
      <c r="I80" s="6">
        <v>0</v>
      </c>
      <c r="J80" s="1" t="s">
        <v>2</v>
      </c>
      <c r="K80" s="1" t="s">
        <v>22</v>
      </c>
      <c r="L80" s="6">
        <v>0</v>
      </c>
      <c r="M80" s="6"/>
      <c r="N80" s="6"/>
      <c r="O80" s="6"/>
      <c r="P80" s="6" t="str">
        <f>IF(OR(Tableau1[[#This Row],[Projet ou client]]="Léane",Tableau1[[#This Row],[Projet ou client]]="Valentine",Tableau1[[#This Row],[Projet ou client]]="Léon",Tableau1[[#This Row],[Projet ou client]]="Camille"),"Cours particuliers","Autre")</f>
        <v>Autre</v>
      </c>
    </row>
    <row r="81" spans="1:16">
      <c r="A81" s="1" t="s">
        <v>88</v>
      </c>
      <c r="B81" s="4">
        <v>45905.332638888889</v>
      </c>
      <c r="C81" s="40">
        <f>Tableau1[[#This Row],[Date de début]]</f>
        <v>45905.332638888889</v>
      </c>
      <c r="D81" s="5">
        <v>45905.332638888889</v>
      </c>
      <c r="E81" s="5">
        <v>45905.756249999999</v>
      </c>
      <c r="F81" s="6">
        <v>9.0839999999999996</v>
      </c>
      <c r="G81" s="1" t="s">
        <v>95</v>
      </c>
      <c r="H81" s="6">
        <v>0</v>
      </c>
      <c r="I81" s="6">
        <v>0</v>
      </c>
      <c r="J81" s="1" t="s">
        <v>2</v>
      </c>
      <c r="K81" s="1" t="s">
        <v>22</v>
      </c>
      <c r="L81" s="6">
        <v>0</v>
      </c>
      <c r="M81" s="6"/>
      <c r="N81" s="6"/>
      <c r="O81" s="6"/>
      <c r="P81" s="6" t="str">
        <f>IF(OR(Tableau1[[#This Row],[Projet ou client]]="Léane",Tableau1[[#This Row],[Projet ou client]]="Valentine",Tableau1[[#This Row],[Projet ou client]]="Léon",Tableau1[[#This Row],[Projet ou client]]="Camille"),"Cours particuliers","Autre")</f>
        <v>Autre</v>
      </c>
    </row>
    <row r="82" spans="1:16" ht="43.15">
      <c r="A82" s="1" t="s">
        <v>54</v>
      </c>
      <c r="B82" s="4">
        <v>45906.758333333331</v>
      </c>
      <c r="C82" s="40">
        <f>Tableau1[[#This Row],[Date de début]]</f>
        <v>45906.758333333331</v>
      </c>
      <c r="D82" s="5">
        <v>45906.758333333331</v>
      </c>
      <c r="E82" s="5">
        <v>45906.765277777777</v>
      </c>
      <c r="F82" s="6">
        <v>0.16700000000000001</v>
      </c>
      <c r="G82" s="1" t="s">
        <v>37</v>
      </c>
      <c r="H82" s="6">
        <v>0</v>
      </c>
      <c r="I82" s="6">
        <v>0</v>
      </c>
      <c r="J82" s="1" t="s">
        <v>2</v>
      </c>
      <c r="K82" s="1" t="s">
        <v>22</v>
      </c>
      <c r="L82" s="6">
        <v>0</v>
      </c>
      <c r="M82" s="6"/>
      <c r="N82" s="6"/>
      <c r="O82" s="6"/>
      <c r="P82" s="6" t="str">
        <f>IF(OR(Tableau1[[#This Row],[Projet ou client]]="Léane",Tableau1[[#This Row],[Projet ou client]]="Valentine",Tableau1[[#This Row],[Projet ou client]]="Léon",Tableau1[[#This Row],[Projet ou client]]="Camille"),"Cours particuliers","Autre")</f>
        <v>Autre</v>
      </c>
    </row>
    <row r="83" spans="1:16">
      <c r="A83" s="1" t="s">
        <v>25</v>
      </c>
      <c r="B83" s="4">
        <v>45908.353472222225</v>
      </c>
      <c r="C83" s="40">
        <f>Tableau1[[#This Row],[Date de début]]</f>
        <v>45908.353472222225</v>
      </c>
      <c r="D83" s="5">
        <v>45908.353472222225</v>
      </c>
      <c r="E83" s="5">
        <v>45908.388194444444</v>
      </c>
      <c r="F83" s="6">
        <v>0.78299999999999992</v>
      </c>
      <c r="G83" s="1" t="s">
        <v>96</v>
      </c>
      <c r="H83" s="6">
        <v>0</v>
      </c>
      <c r="I83" s="6">
        <v>0</v>
      </c>
      <c r="J83" s="1" t="s">
        <v>2</v>
      </c>
      <c r="K83" s="1" t="s">
        <v>22</v>
      </c>
      <c r="L83" s="6">
        <v>0</v>
      </c>
      <c r="M83" s="6"/>
      <c r="N83" s="6"/>
      <c r="O83" s="6"/>
      <c r="P83" s="6" t="str">
        <f>IF(OR(Tableau1[[#This Row],[Projet ou client]]="Léane",Tableau1[[#This Row],[Projet ou client]]="Valentine",Tableau1[[#This Row],[Projet ou client]]="Léon",Tableau1[[#This Row],[Projet ou client]]="Camille"),"Cours particuliers","Autre")</f>
        <v>Autre</v>
      </c>
    </row>
    <row r="84" spans="1:16">
      <c r="A84" s="1" t="s">
        <v>87</v>
      </c>
      <c r="B84" s="4">
        <v>45908.457638888889</v>
      </c>
      <c r="C84" s="40">
        <f>Tableau1[[#This Row],[Date de début]]</f>
        <v>45908.457638888889</v>
      </c>
      <c r="D84" s="5">
        <v>45908.457638888889</v>
      </c>
      <c r="E84" s="5">
        <v>45908.518055555556</v>
      </c>
      <c r="F84" s="6">
        <v>0.38300000000000001</v>
      </c>
      <c r="G84" s="1" t="s">
        <v>97</v>
      </c>
      <c r="H84" s="6">
        <v>0</v>
      </c>
      <c r="I84" s="6">
        <v>0</v>
      </c>
      <c r="J84" s="1" t="s">
        <v>2</v>
      </c>
      <c r="K84" s="1" t="s">
        <v>22</v>
      </c>
      <c r="L84" s="6">
        <v>0</v>
      </c>
      <c r="M84" s="6"/>
      <c r="N84" s="6"/>
      <c r="O84" s="6"/>
      <c r="P84" s="6" t="str">
        <f>IF(OR(Tableau1[[#This Row],[Projet ou client]]="Léane",Tableau1[[#This Row],[Projet ou client]]="Valentine",Tableau1[[#This Row],[Projet ou client]]="Léon",Tableau1[[#This Row],[Projet ou client]]="Camille"),"Cours particuliers","Autre")</f>
        <v>Autre</v>
      </c>
    </row>
    <row r="85" spans="1:16">
      <c r="A85" s="1" t="s">
        <v>25</v>
      </c>
      <c r="B85" s="4">
        <v>45908.588194444441</v>
      </c>
      <c r="C85" s="40">
        <f>Tableau1[[#This Row],[Date de début]]</f>
        <v>45908.588194444441</v>
      </c>
      <c r="D85" s="5">
        <v>45908.588194444441</v>
      </c>
      <c r="E85" s="5">
        <v>45908.652083333334</v>
      </c>
      <c r="F85" s="6">
        <v>1.3499999999999999</v>
      </c>
      <c r="G85" s="1" t="s">
        <v>98</v>
      </c>
      <c r="H85" s="6">
        <v>0</v>
      </c>
      <c r="I85" s="6">
        <v>0</v>
      </c>
      <c r="J85" s="1" t="s">
        <v>2</v>
      </c>
      <c r="K85" s="1" t="s">
        <v>22</v>
      </c>
      <c r="L85" s="6">
        <v>0</v>
      </c>
      <c r="M85" s="6"/>
      <c r="N85" s="6"/>
      <c r="O85" s="6"/>
      <c r="P85" s="6" t="str">
        <f>IF(OR(Tableau1[[#This Row],[Projet ou client]]="Léane",Tableau1[[#This Row],[Projet ou client]]="Valentine",Tableau1[[#This Row],[Projet ou client]]="Léon",Tableau1[[#This Row],[Projet ou client]]="Camille"),"Cours particuliers","Autre")</f>
        <v>Autre</v>
      </c>
    </row>
    <row r="86" spans="1:16">
      <c r="A86" s="1" t="s">
        <v>25</v>
      </c>
      <c r="B86" s="4">
        <v>45908.72152777778</v>
      </c>
      <c r="C86" s="40">
        <f>Tableau1[[#This Row],[Date de début]]</f>
        <v>45908.72152777778</v>
      </c>
      <c r="D86" s="5">
        <v>45908.72152777778</v>
      </c>
      <c r="E86" s="5">
        <v>45908.781944444447</v>
      </c>
      <c r="F86" s="6">
        <v>1.45</v>
      </c>
      <c r="G86" s="1" t="s">
        <v>53</v>
      </c>
      <c r="H86" s="6">
        <v>0</v>
      </c>
      <c r="I86" s="6">
        <v>0</v>
      </c>
      <c r="J86" s="1" t="s">
        <v>99</v>
      </c>
      <c r="K86" s="1" t="s">
        <v>22</v>
      </c>
      <c r="L86" s="6">
        <v>0</v>
      </c>
      <c r="M86" s="6"/>
      <c r="N86" s="6"/>
      <c r="O86" s="6"/>
      <c r="P86" s="6" t="str">
        <f>IF(OR(Tableau1[[#This Row],[Projet ou client]]="Léane",Tableau1[[#This Row],[Projet ou client]]="Valentine",Tableau1[[#This Row],[Projet ou client]]="Léon",Tableau1[[#This Row],[Projet ou client]]="Camille"),"Cours particuliers","Autre")</f>
        <v>Autre</v>
      </c>
    </row>
    <row r="87" spans="1:16">
      <c r="A87" s="1" t="s">
        <v>100</v>
      </c>
      <c r="B87" s="4">
        <v>45908.796527777777</v>
      </c>
      <c r="C87" s="40">
        <f>Tableau1[[#This Row],[Date de début]]</f>
        <v>45908.796527777777</v>
      </c>
      <c r="D87" s="5">
        <v>45908.796527777777</v>
      </c>
      <c r="E87" s="5">
        <v>45908.947916666672</v>
      </c>
      <c r="F87" s="6">
        <v>3.633</v>
      </c>
      <c r="G87" s="1" t="s">
        <v>101</v>
      </c>
      <c r="H87" s="6">
        <v>0</v>
      </c>
      <c r="I87" s="6">
        <v>0</v>
      </c>
      <c r="J87" s="1" t="s">
        <v>2</v>
      </c>
      <c r="K87" s="1" t="s">
        <v>22</v>
      </c>
      <c r="L87" s="6">
        <v>0</v>
      </c>
      <c r="M87" s="6"/>
      <c r="N87" s="6"/>
      <c r="O87" s="6"/>
      <c r="P87" s="6" t="str">
        <f>IF(OR(Tableau1[[#This Row],[Projet ou client]]="Léane",Tableau1[[#This Row],[Projet ou client]]="Valentine",Tableau1[[#This Row],[Projet ou client]]="Léon",Tableau1[[#This Row],[Projet ou client]]="Camille"),"Cours particuliers","Autre")</f>
        <v>Autre</v>
      </c>
    </row>
    <row r="88" spans="1:16">
      <c r="A88" s="1" t="s">
        <v>25</v>
      </c>
      <c r="B88" s="4">
        <v>45909.375694444447</v>
      </c>
      <c r="C88" s="40">
        <f>Tableau1[[#This Row],[Date de début]]</f>
        <v>45909.375694444447</v>
      </c>
      <c r="D88" s="5">
        <v>45909.375694444447</v>
      </c>
      <c r="E88" s="5">
        <v>45909.445833333331</v>
      </c>
      <c r="F88" s="6">
        <v>1.516</v>
      </c>
      <c r="G88" s="1" t="s">
        <v>102</v>
      </c>
      <c r="H88" s="6">
        <v>0</v>
      </c>
      <c r="I88" s="6">
        <v>0</v>
      </c>
      <c r="J88" s="1" t="s">
        <v>2</v>
      </c>
      <c r="K88" s="1" t="s">
        <v>22</v>
      </c>
      <c r="L88" s="6">
        <v>0</v>
      </c>
      <c r="M88" s="6"/>
      <c r="N88" s="6"/>
      <c r="O88" s="6"/>
      <c r="P88" s="6" t="str">
        <f>IF(OR(Tableau1[[#This Row],[Projet ou client]]="Léane",Tableau1[[#This Row],[Projet ou client]]="Valentine",Tableau1[[#This Row],[Projet ou client]]="Léon",Tableau1[[#This Row],[Projet ou client]]="Camille"),"Cours particuliers","Autre")</f>
        <v>Autre</v>
      </c>
    </row>
    <row r="89" spans="1:16">
      <c r="A89" s="1" t="s">
        <v>88</v>
      </c>
      <c r="B89" s="4">
        <v>45909.446527777778</v>
      </c>
      <c r="C89" s="40">
        <f>Tableau1[[#This Row],[Date de début]]</f>
        <v>45909.446527777778</v>
      </c>
      <c r="D89" s="5">
        <v>45909.446527777778</v>
      </c>
      <c r="E89" s="5">
        <v>45909.736805555556</v>
      </c>
      <c r="F89" s="6">
        <v>6.9669999999999996</v>
      </c>
      <c r="G89" s="1" t="s">
        <v>103</v>
      </c>
      <c r="H89" s="6">
        <v>0</v>
      </c>
      <c r="I89" s="6">
        <v>0</v>
      </c>
      <c r="J89" s="1" t="s">
        <v>2</v>
      </c>
      <c r="K89" s="1" t="s">
        <v>22</v>
      </c>
      <c r="L89" s="6">
        <v>0</v>
      </c>
      <c r="M89" s="6"/>
      <c r="N89" s="6"/>
      <c r="O89" s="6"/>
      <c r="P89" s="6" t="str">
        <f>IF(OR(Tableau1[[#This Row],[Projet ou client]]="Léane",Tableau1[[#This Row],[Projet ou client]]="Valentine",Tableau1[[#This Row],[Projet ou client]]="Léon",Tableau1[[#This Row],[Projet ou client]]="Camille"),"Cours particuliers","Autre")</f>
        <v>Autre</v>
      </c>
    </row>
    <row r="90" spans="1:16">
      <c r="A90" s="1" t="s">
        <v>104</v>
      </c>
      <c r="B90" s="4">
        <v>45910.372916666667</v>
      </c>
      <c r="C90" s="40">
        <f>Tableau1[[#This Row],[Date de début]]</f>
        <v>45910.372916666667</v>
      </c>
      <c r="D90" s="5">
        <v>45910.372916666667</v>
      </c>
      <c r="E90" s="5">
        <v>45910.52847222222</v>
      </c>
      <c r="F90" s="6">
        <v>3.7330000000000001</v>
      </c>
      <c r="G90" s="1" t="s">
        <v>105</v>
      </c>
      <c r="H90" s="6">
        <v>0</v>
      </c>
      <c r="I90" s="6">
        <v>0</v>
      </c>
      <c r="J90" s="1" t="s">
        <v>2</v>
      </c>
      <c r="K90" s="1" t="s">
        <v>22</v>
      </c>
      <c r="L90" s="6">
        <v>0</v>
      </c>
      <c r="M90" s="6"/>
      <c r="N90" s="6"/>
      <c r="O90" s="6"/>
      <c r="P90" s="6" t="str">
        <f>IF(OR(Tableau1[[#This Row],[Projet ou client]]="Léane",Tableau1[[#This Row],[Projet ou client]]="Valentine",Tableau1[[#This Row],[Projet ou client]]="Léon",Tableau1[[#This Row],[Projet ou client]]="Camille"),"Cours particuliers","Autre")</f>
        <v>Autre</v>
      </c>
    </row>
    <row r="91" spans="1:16">
      <c r="A91" s="1" t="s">
        <v>25</v>
      </c>
      <c r="B91" s="4">
        <v>45910.618750000001</v>
      </c>
      <c r="C91" s="40">
        <f>Tableau1[[#This Row],[Date de début]]</f>
        <v>45910.618750000001</v>
      </c>
      <c r="D91" s="5">
        <v>45910.618750000001</v>
      </c>
      <c r="E91" s="5">
        <v>45910.640277777777</v>
      </c>
      <c r="F91" s="6">
        <v>0.51700000000000002</v>
      </c>
      <c r="G91" s="1" t="s">
        <v>26</v>
      </c>
      <c r="H91" s="6">
        <v>0</v>
      </c>
      <c r="I91" s="6">
        <v>0</v>
      </c>
      <c r="J91" s="1" t="s">
        <v>2</v>
      </c>
      <c r="K91" s="1" t="s">
        <v>22</v>
      </c>
      <c r="L91" s="6">
        <v>0</v>
      </c>
      <c r="M91" s="6"/>
      <c r="N91" s="6"/>
      <c r="O91" s="6"/>
      <c r="P91" s="6" t="str">
        <f>IF(OR(Tableau1[[#This Row],[Projet ou client]]="Léane",Tableau1[[#This Row],[Projet ou client]]="Valentine",Tableau1[[#This Row],[Projet ou client]]="Léon",Tableau1[[#This Row],[Projet ou client]]="Camille"),"Cours particuliers","Autre")</f>
        <v>Autre</v>
      </c>
    </row>
    <row r="92" spans="1:16" ht="28.9">
      <c r="A92" s="1" t="s">
        <v>50</v>
      </c>
      <c r="B92" s="4">
        <v>45910.640277777777</v>
      </c>
      <c r="C92" s="40">
        <f>Tableau1[[#This Row],[Date de début]]</f>
        <v>45910.640277777777</v>
      </c>
      <c r="D92" s="5">
        <v>45910.640277777777</v>
      </c>
      <c r="E92" s="5">
        <v>45910.724305555559</v>
      </c>
      <c r="F92" s="6">
        <v>1.617</v>
      </c>
      <c r="G92" s="1" t="s">
        <v>106</v>
      </c>
      <c r="H92" s="6">
        <v>0</v>
      </c>
      <c r="I92" s="6">
        <v>0</v>
      </c>
      <c r="J92" s="1" t="s">
        <v>2</v>
      </c>
      <c r="K92" s="1" t="s">
        <v>22</v>
      </c>
      <c r="L92" s="6">
        <v>0</v>
      </c>
      <c r="M92" s="6"/>
      <c r="N92" s="6"/>
      <c r="O92" s="6"/>
      <c r="P92" s="6" t="str">
        <f>IF(OR(Tableau1[[#This Row],[Projet ou client]]="Léane",Tableau1[[#This Row],[Projet ou client]]="Valentine",Tableau1[[#This Row],[Projet ou client]]="Léon",Tableau1[[#This Row],[Projet ou client]]="Camille"),"Cours particuliers","Autre")</f>
        <v>Autre</v>
      </c>
    </row>
    <row r="93" spans="1:16">
      <c r="A93" s="1" t="s">
        <v>25</v>
      </c>
      <c r="B93" s="4">
        <v>45910.722916666666</v>
      </c>
      <c r="C93" s="40">
        <f>Tableau1[[#This Row],[Date de début]]</f>
        <v>45910.722916666666</v>
      </c>
      <c r="D93" s="5">
        <v>45910.722916666666</v>
      </c>
      <c r="E93" s="5">
        <v>45910.729166666672</v>
      </c>
      <c r="F93" s="6">
        <v>0.15</v>
      </c>
      <c r="G93" s="1" t="s">
        <v>80</v>
      </c>
      <c r="H93" s="6">
        <v>0</v>
      </c>
      <c r="I93" s="6">
        <v>0</v>
      </c>
      <c r="J93" s="1" t="s">
        <v>2</v>
      </c>
      <c r="K93" s="1" t="s">
        <v>22</v>
      </c>
      <c r="L93" s="6">
        <v>0</v>
      </c>
      <c r="M93" s="6"/>
      <c r="N93" s="6"/>
      <c r="O93" s="6"/>
      <c r="P93" s="6" t="str">
        <f>IF(OR(Tableau1[[#This Row],[Projet ou client]]="Léane",Tableau1[[#This Row],[Projet ou client]]="Valentine",Tableau1[[#This Row],[Projet ou client]]="Léon",Tableau1[[#This Row],[Projet ou client]]="Camille"),"Cours particuliers","Autre")</f>
        <v>Autre</v>
      </c>
    </row>
    <row r="94" spans="1:16" ht="28.9">
      <c r="A94" s="1" t="s">
        <v>50</v>
      </c>
      <c r="B94" s="4">
        <v>45911.279166666667</v>
      </c>
      <c r="C94" s="40">
        <f>Tableau1[[#This Row],[Date de début]]</f>
        <v>45911.279166666667</v>
      </c>
      <c r="D94" s="5">
        <v>45911.279166666667</v>
      </c>
      <c r="E94" s="5">
        <v>45911.307638888888</v>
      </c>
      <c r="F94" s="6">
        <v>0.6160000000000001</v>
      </c>
      <c r="G94" s="1" t="s">
        <v>107</v>
      </c>
      <c r="H94" s="6">
        <v>0</v>
      </c>
      <c r="I94" s="6">
        <v>0</v>
      </c>
      <c r="J94" s="1" t="s">
        <v>2</v>
      </c>
      <c r="K94" s="1" t="s">
        <v>22</v>
      </c>
      <c r="L94" s="6">
        <v>0</v>
      </c>
      <c r="M94" s="6"/>
      <c r="N94" s="6"/>
      <c r="O94" s="6"/>
      <c r="P94" s="6" t="str">
        <f>IF(OR(Tableau1[[#This Row],[Projet ou client]]="Léane",Tableau1[[#This Row],[Projet ou client]]="Valentine",Tableau1[[#This Row],[Projet ou client]]="Léon",Tableau1[[#This Row],[Projet ou client]]="Camille"),"Cours particuliers","Autre")</f>
        <v>Autre</v>
      </c>
    </row>
    <row r="95" spans="1:16">
      <c r="A95" s="1" t="s">
        <v>104</v>
      </c>
      <c r="B95" s="4">
        <v>45911.318749999999</v>
      </c>
      <c r="C95" s="40">
        <f>Tableau1[[#This Row],[Date de début]]</f>
        <v>45911.318749999999</v>
      </c>
      <c r="D95" s="5">
        <v>45911.318749999999</v>
      </c>
      <c r="E95" s="5">
        <v>45911.553472222222</v>
      </c>
      <c r="F95" s="6">
        <v>4.7</v>
      </c>
      <c r="G95" s="1" t="s">
        <v>108</v>
      </c>
      <c r="H95" s="6">
        <v>42</v>
      </c>
      <c r="I95" s="6">
        <v>0</v>
      </c>
      <c r="J95" s="1" t="s">
        <v>2</v>
      </c>
      <c r="K95" s="1" t="s">
        <v>22</v>
      </c>
      <c r="L95" s="6">
        <v>197.4</v>
      </c>
      <c r="M95" s="6"/>
      <c r="N95" s="6"/>
      <c r="O95" s="6"/>
      <c r="P95" s="6" t="str">
        <f>IF(OR(Tableau1[[#This Row],[Projet ou client]]="Léane",Tableau1[[#This Row],[Projet ou client]]="Valentine",Tableau1[[#This Row],[Projet ou client]]="Léon",Tableau1[[#This Row],[Projet ou client]]="Camille"),"Cours particuliers","Autre")</f>
        <v>Autre</v>
      </c>
    </row>
    <row r="96" spans="1:16" ht="43.15">
      <c r="A96" s="1" t="s">
        <v>54</v>
      </c>
      <c r="B96" s="4">
        <v>45911.584027777775</v>
      </c>
      <c r="C96" s="40">
        <f>Tableau1[[#This Row],[Date de début]]</f>
        <v>45911.584027777775</v>
      </c>
      <c r="D96" s="5">
        <v>45911.584027777775</v>
      </c>
      <c r="E96" s="5">
        <v>45911.61319444445</v>
      </c>
      <c r="F96" s="6">
        <v>0.49999999999999994</v>
      </c>
      <c r="G96" s="1" t="s">
        <v>79</v>
      </c>
      <c r="H96" s="6">
        <v>0</v>
      </c>
      <c r="I96" s="6">
        <v>0</v>
      </c>
      <c r="J96" s="1" t="s">
        <v>2</v>
      </c>
      <c r="K96" s="1" t="s">
        <v>22</v>
      </c>
      <c r="L96" s="6">
        <v>0</v>
      </c>
      <c r="M96" s="6"/>
      <c r="N96" s="6"/>
      <c r="O96" s="6"/>
      <c r="P96" s="6" t="str">
        <f>IF(OR(Tableau1[[#This Row],[Projet ou client]]="Léane",Tableau1[[#This Row],[Projet ou client]]="Valentine",Tableau1[[#This Row],[Projet ou client]]="Léon",Tableau1[[#This Row],[Projet ou client]]="Camille"),"Cours particuliers","Autre")</f>
        <v>Autre</v>
      </c>
    </row>
    <row r="97" spans="1:16">
      <c r="A97" s="1" t="s">
        <v>25</v>
      </c>
      <c r="B97" s="4">
        <v>45911.604166666672</v>
      </c>
      <c r="C97" s="40">
        <f>Tableau1[[#This Row],[Date de début]]</f>
        <v>45911.604166666672</v>
      </c>
      <c r="D97" s="5">
        <v>45911.604166666672</v>
      </c>
      <c r="E97" s="5">
        <v>45911.61319444445</v>
      </c>
      <c r="F97" s="6">
        <v>0.217</v>
      </c>
      <c r="G97" s="1" t="s">
        <v>51</v>
      </c>
      <c r="H97" s="6">
        <v>0</v>
      </c>
      <c r="I97" s="6">
        <v>0</v>
      </c>
      <c r="J97" s="1" t="s">
        <v>2</v>
      </c>
      <c r="K97" s="1" t="s">
        <v>22</v>
      </c>
      <c r="L97" s="6">
        <v>0</v>
      </c>
      <c r="M97" s="6"/>
      <c r="N97" s="6"/>
      <c r="O97" s="6"/>
      <c r="P97" s="6" t="str">
        <f>IF(OR(Tableau1[[#This Row],[Projet ou client]]="Léane",Tableau1[[#This Row],[Projet ou client]]="Valentine",Tableau1[[#This Row],[Projet ou client]]="Léon",Tableau1[[#This Row],[Projet ou client]]="Camille"),"Cours particuliers","Autre")</f>
        <v>Autre</v>
      </c>
    </row>
    <row r="98" spans="1:16" ht="43.15">
      <c r="A98" s="1" t="s">
        <v>54</v>
      </c>
      <c r="B98" s="4">
        <v>45911.614583333328</v>
      </c>
      <c r="C98" s="40">
        <f>Tableau1[[#This Row],[Date de début]]</f>
        <v>45911.614583333328</v>
      </c>
      <c r="D98" s="5">
        <v>45911.614583333328</v>
      </c>
      <c r="E98" s="5">
        <v>45911.620833333334</v>
      </c>
      <c r="F98" s="6">
        <v>0.15</v>
      </c>
      <c r="G98" s="1" t="s">
        <v>80</v>
      </c>
      <c r="H98" s="6">
        <v>0</v>
      </c>
      <c r="I98" s="6">
        <v>0</v>
      </c>
      <c r="J98" s="1" t="s">
        <v>2</v>
      </c>
      <c r="K98" s="1" t="s">
        <v>22</v>
      </c>
      <c r="L98" s="6">
        <v>0</v>
      </c>
      <c r="M98" s="6"/>
      <c r="N98" s="6"/>
      <c r="O98" s="6"/>
      <c r="P98" s="6" t="str">
        <f>IF(OR(Tableau1[[#This Row],[Projet ou client]]="Léane",Tableau1[[#This Row],[Projet ou client]]="Valentine",Tableau1[[#This Row],[Projet ou client]]="Léon",Tableau1[[#This Row],[Projet ou client]]="Camille"),"Cours particuliers","Autre")</f>
        <v>Autre</v>
      </c>
    </row>
    <row r="99" spans="1:16">
      <c r="A99" s="1" t="s">
        <v>109</v>
      </c>
      <c r="B99" s="4">
        <v>45911.62222222222</v>
      </c>
      <c r="C99" s="40">
        <f>Tableau1[[#This Row],[Date de début]]</f>
        <v>45911.62222222222</v>
      </c>
      <c r="D99" s="5">
        <v>45911.62222222222</v>
      </c>
      <c r="E99" s="5">
        <v>45911.643055555556</v>
      </c>
      <c r="F99" s="6">
        <v>0.5</v>
      </c>
      <c r="G99" s="1" t="s">
        <v>79</v>
      </c>
      <c r="H99" s="6">
        <v>0</v>
      </c>
      <c r="I99" s="6">
        <v>0</v>
      </c>
      <c r="J99" s="1" t="s">
        <v>2</v>
      </c>
      <c r="K99" s="1" t="s">
        <v>22</v>
      </c>
      <c r="L99" s="6">
        <v>0</v>
      </c>
      <c r="M99" s="6"/>
      <c r="N99" s="6"/>
      <c r="O99" s="6"/>
      <c r="P99" s="6" t="str">
        <f>IF(OR(Tableau1[[#This Row],[Projet ou client]]="Léane",Tableau1[[#This Row],[Projet ou client]]="Valentine",Tableau1[[#This Row],[Projet ou client]]="Léon",Tableau1[[#This Row],[Projet ou client]]="Camille"),"Cours particuliers","Autre")</f>
        <v>Autre</v>
      </c>
    </row>
    <row r="100" spans="1:16" ht="28.9">
      <c r="A100" s="1" t="s">
        <v>31</v>
      </c>
      <c r="B100" s="4">
        <v>45911.642361111109</v>
      </c>
      <c r="C100" s="40">
        <f>Tableau1[[#This Row],[Date de début]]</f>
        <v>45911.642361111109</v>
      </c>
      <c r="D100" s="5">
        <v>45911.642361111109</v>
      </c>
      <c r="E100" s="5">
        <v>45911.658333333333</v>
      </c>
      <c r="F100" s="6">
        <v>0.38300000000000001</v>
      </c>
      <c r="G100" s="1" t="s">
        <v>97</v>
      </c>
      <c r="H100" s="6">
        <v>0</v>
      </c>
      <c r="I100" s="6">
        <v>0</v>
      </c>
      <c r="J100" s="1" t="s">
        <v>2</v>
      </c>
      <c r="K100" s="1" t="s">
        <v>22</v>
      </c>
      <c r="L100" s="6">
        <v>0</v>
      </c>
      <c r="M100" s="6"/>
      <c r="N100" s="6"/>
      <c r="O100" s="6"/>
      <c r="P100" s="6" t="str">
        <f>IF(OR(Tableau1[[#This Row],[Projet ou client]]="Léane",Tableau1[[#This Row],[Projet ou client]]="Valentine",Tableau1[[#This Row],[Projet ou client]]="Léon",Tableau1[[#This Row],[Projet ou client]]="Camille"),"Cours particuliers","Autre")</f>
        <v>Autre</v>
      </c>
    </row>
    <row r="101" spans="1:16">
      <c r="A101" s="1" t="s">
        <v>78</v>
      </c>
      <c r="B101" s="4">
        <v>45911.658333333333</v>
      </c>
      <c r="C101" s="40">
        <f>Tableau1[[#This Row],[Date de début]]</f>
        <v>45911.658333333333</v>
      </c>
      <c r="D101" s="5">
        <v>45911.658333333333</v>
      </c>
      <c r="E101" s="5">
        <v>45911.675000000003</v>
      </c>
      <c r="F101" s="6">
        <v>0.4</v>
      </c>
      <c r="G101" s="1" t="s">
        <v>21</v>
      </c>
      <c r="H101" s="6">
        <v>0</v>
      </c>
      <c r="I101" s="6">
        <v>0</v>
      </c>
      <c r="J101" s="1" t="s">
        <v>2</v>
      </c>
      <c r="K101" s="1" t="s">
        <v>22</v>
      </c>
      <c r="L101" s="6">
        <v>0</v>
      </c>
      <c r="M101" s="6"/>
      <c r="N101" s="6"/>
      <c r="O101" s="6"/>
      <c r="P101" s="6" t="str">
        <f>IF(OR(Tableau1[[#This Row],[Projet ou client]]="Léane",Tableau1[[#This Row],[Projet ou client]]="Valentine",Tableau1[[#This Row],[Projet ou client]]="Léon",Tableau1[[#This Row],[Projet ou client]]="Camille"),"Cours particuliers","Autre")</f>
        <v>Autre</v>
      </c>
    </row>
    <row r="102" spans="1:16">
      <c r="A102" s="1" t="s">
        <v>110</v>
      </c>
      <c r="B102" s="4">
        <v>45911.695138888885</v>
      </c>
      <c r="C102" s="40">
        <f>Tableau1[[#This Row],[Date de début]]</f>
        <v>45911.695138888885</v>
      </c>
      <c r="D102" s="5">
        <v>45911.695138888885</v>
      </c>
      <c r="E102" s="5">
        <v>45911.745138888888</v>
      </c>
      <c r="F102" s="6">
        <v>1.2</v>
      </c>
      <c r="G102" s="1" t="s">
        <v>32</v>
      </c>
      <c r="H102" s="6">
        <v>30</v>
      </c>
      <c r="I102" s="6">
        <v>0</v>
      </c>
      <c r="J102" s="1" t="s">
        <v>2</v>
      </c>
      <c r="K102" s="1" t="s">
        <v>22</v>
      </c>
      <c r="L102" s="6">
        <v>36</v>
      </c>
      <c r="M102" s="6"/>
      <c r="N102" s="6"/>
      <c r="O102" s="6"/>
      <c r="P102" s="6" t="str">
        <f>IF(OR(Tableau1[[#This Row],[Projet ou client]]="Léane",Tableau1[[#This Row],[Projet ou client]]="Valentine",Tableau1[[#This Row],[Projet ou client]]="Léon",Tableau1[[#This Row],[Projet ou client]]="Camille"),"Cours particuliers","Autre")</f>
        <v>Cours particuliers</v>
      </c>
    </row>
    <row r="103" spans="1:16" ht="28.9">
      <c r="A103" s="1" t="s">
        <v>31</v>
      </c>
      <c r="B103" s="4">
        <v>45912.279166666667</v>
      </c>
      <c r="C103" s="40">
        <f>Tableau1[[#This Row],[Date de début]]</f>
        <v>45912.279166666667</v>
      </c>
      <c r="D103" s="5">
        <v>45912.279166666667</v>
      </c>
      <c r="E103" s="5">
        <v>45912.298611111109</v>
      </c>
      <c r="F103" s="6">
        <v>0.46700000000000003</v>
      </c>
      <c r="G103" s="1" t="s">
        <v>111</v>
      </c>
      <c r="H103" s="6">
        <v>0</v>
      </c>
      <c r="I103" s="6">
        <v>0</v>
      </c>
      <c r="J103" s="1" t="s">
        <v>2</v>
      </c>
      <c r="K103" s="1" t="s">
        <v>22</v>
      </c>
      <c r="L103" s="6">
        <v>0</v>
      </c>
      <c r="M103" s="6"/>
      <c r="N103" s="6"/>
      <c r="O103" s="6"/>
      <c r="P103" s="6" t="str">
        <f>IF(OR(Tableau1[[#This Row],[Projet ou client]]="Léane",Tableau1[[#This Row],[Projet ou client]]="Valentine",Tableau1[[#This Row],[Projet ou client]]="Léon",Tableau1[[#This Row],[Projet ou client]]="Camille"),"Cours particuliers","Autre")</f>
        <v>Autre</v>
      </c>
    </row>
    <row r="104" spans="1:16">
      <c r="A104" s="1" t="s">
        <v>104</v>
      </c>
      <c r="B104" s="4">
        <v>45912.322916666672</v>
      </c>
      <c r="C104" s="40">
        <f>Tableau1[[#This Row],[Date de début]]</f>
        <v>45912.322916666672</v>
      </c>
      <c r="D104" s="5">
        <v>45912.322916666672</v>
      </c>
      <c r="E104" s="5">
        <v>45912.513888888891</v>
      </c>
      <c r="F104" s="6">
        <v>4.5830000000000002</v>
      </c>
      <c r="G104" s="1" t="s">
        <v>112</v>
      </c>
      <c r="H104" s="6">
        <v>0</v>
      </c>
      <c r="I104" s="6">
        <v>0</v>
      </c>
      <c r="J104" s="1" t="s">
        <v>2</v>
      </c>
      <c r="K104" s="1" t="s">
        <v>22</v>
      </c>
      <c r="L104" s="6">
        <v>0</v>
      </c>
      <c r="M104" s="6"/>
      <c r="N104" s="6"/>
      <c r="O104" s="6"/>
      <c r="P104" s="6" t="str">
        <f>IF(OR(Tableau1[[#This Row],[Projet ou client]]="Léane",Tableau1[[#This Row],[Projet ou client]]="Valentine",Tableau1[[#This Row],[Projet ou client]]="Léon",Tableau1[[#This Row],[Projet ou client]]="Camille"),"Cours particuliers","Autre")</f>
        <v>Autre</v>
      </c>
    </row>
    <row r="105" spans="1:16">
      <c r="A105" s="1" t="s">
        <v>109</v>
      </c>
      <c r="B105" s="4">
        <v>45912.608333333337</v>
      </c>
      <c r="C105" s="40">
        <f>Tableau1[[#This Row],[Date de début]]</f>
        <v>45912.608333333337</v>
      </c>
      <c r="D105" s="5">
        <v>45912.608333333337</v>
      </c>
      <c r="E105" s="5">
        <v>45912.625</v>
      </c>
      <c r="F105" s="6">
        <v>0.33300000000000002</v>
      </c>
      <c r="G105" s="1" t="s">
        <v>113</v>
      </c>
      <c r="H105" s="6">
        <v>0</v>
      </c>
      <c r="I105" s="6">
        <v>0</v>
      </c>
      <c r="J105" s="1" t="s">
        <v>2</v>
      </c>
      <c r="K105" s="1" t="s">
        <v>22</v>
      </c>
      <c r="L105" s="6">
        <v>0</v>
      </c>
      <c r="M105" s="6"/>
      <c r="N105" s="6"/>
      <c r="O105" s="6"/>
      <c r="P105" s="6" t="str">
        <f>IF(OR(Tableau1[[#This Row],[Projet ou client]]="Léane",Tableau1[[#This Row],[Projet ou client]]="Valentine",Tableau1[[#This Row],[Projet ou client]]="Léon",Tableau1[[#This Row],[Projet ou client]]="Camille"),"Cours particuliers","Autre")</f>
        <v>Autre</v>
      </c>
    </row>
    <row r="106" spans="1:16">
      <c r="A106" s="1" t="s">
        <v>25</v>
      </c>
      <c r="B106" s="4">
        <v>45912.624305555553</v>
      </c>
      <c r="C106" s="40">
        <f>Tableau1[[#This Row],[Date de début]]</f>
        <v>45912.624305555553</v>
      </c>
      <c r="D106" s="5">
        <v>45912.624305555553</v>
      </c>
      <c r="E106" s="5">
        <v>45912.654166666667</v>
      </c>
      <c r="F106" s="6">
        <v>0.71699999999999997</v>
      </c>
      <c r="G106" s="1" t="s">
        <v>68</v>
      </c>
      <c r="H106" s="6">
        <v>0</v>
      </c>
      <c r="I106" s="6">
        <v>0</v>
      </c>
      <c r="J106" s="1" t="s">
        <v>2</v>
      </c>
      <c r="K106" s="1" t="s">
        <v>22</v>
      </c>
      <c r="L106" s="6">
        <v>0</v>
      </c>
      <c r="M106" s="6"/>
      <c r="N106" s="6"/>
      <c r="O106" s="6"/>
      <c r="P106" s="6" t="str">
        <f>IF(OR(Tableau1[[#This Row],[Projet ou client]]="Léane",Tableau1[[#This Row],[Projet ou client]]="Valentine",Tableau1[[#This Row],[Projet ou client]]="Léon",Tableau1[[#This Row],[Projet ou client]]="Camille"),"Cours particuliers","Autre")</f>
        <v>Autre</v>
      </c>
    </row>
    <row r="107" spans="1:16" ht="28.9">
      <c r="A107" s="1" t="s">
        <v>69</v>
      </c>
      <c r="B107" s="4">
        <v>45912.655555555553</v>
      </c>
      <c r="C107" s="40">
        <f>Tableau1[[#This Row],[Date de début]]</f>
        <v>45912.655555555553</v>
      </c>
      <c r="D107" s="5">
        <v>45912.655555555553</v>
      </c>
      <c r="E107" s="5">
        <v>45912.660416666666</v>
      </c>
      <c r="F107" s="6">
        <v>0.11700000000000001</v>
      </c>
      <c r="G107" s="1" t="s">
        <v>47</v>
      </c>
      <c r="H107" s="6">
        <v>0</v>
      </c>
      <c r="I107" s="6">
        <v>0</v>
      </c>
      <c r="J107" s="1" t="s">
        <v>2</v>
      </c>
      <c r="K107" s="1" t="s">
        <v>22</v>
      </c>
      <c r="L107" s="6">
        <v>0</v>
      </c>
      <c r="M107" s="6"/>
      <c r="N107" s="6"/>
      <c r="O107" s="6"/>
      <c r="P107" s="6" t="str">
        <f>IF(OR(Tableau1[[#This Row],[Projet ou client]]="Léane",Tableau1[[#This Row],[Projet ou client]]="Valentine",Tableau1[[#This Row],[Projet ou client]]="Léon",Tableau1[[#This Row],[Projet ou client]]="Camille"),"Cours particuliers","Autre")</f>
        <v>Autre</v>
      </c>
    </row>
    <row r="108" spans="1:16">
      <c r="A108" s="1" t="s">
        <v>109</v>
      </c>
      <c r="B108" s="4">
        <v>45912.660416666666</v>
      </c>
      <c r="C108" s="40">
        <f>Tableau1[[#This Row],[Date de début]]</f>
        <v>45912.660416666666</v>
      </c>
      <c r="D108" s="5">
        <v>45912.660416666666</v>
      </c>
      <c r="E108" s="5">
        <v>45912.667361111111</v>
      </c>
      <c r="F108" s="6">
        <v>0.16700000000000001</v>
      </c>
      <c r="G108" s="1" t="s">
        <v>37</v>
      </c>
      <c r="H108" s="6">
        <v>0</v>
      </c>
      <c r="I108" s="6">
        <v>0</v>
      </c>
      <c r="J108" s="1" t="s">
        <v>2</v>
      </c>
      <c r="K108" s="1" t="s">
        <v>22</v>
      </c>
      <c r="L108" s="6">
        <v>0</v>
      </c>
      <c r="M108" s="6"/>
      <c r="N108" s="6"/>
      <c r="O108" s="6"/>
      <c r="P108" s="6" t="str">
        <f>IF(OR(Tableau1[[#This Row],[Projet ou client]]="Léane",Tableau1[[#This Row],[Projet ou client]]="Valentine",Tableau1[[#This Row],[Projet ou client]]="Léon",Tableau1[[#This Row],[Projet ou client]]="Camille"),"Cours particuliers","Autre")</f>
        <v>Autre</v>
      </c>
    </row>
    <row r="109" spans="1:16" ht="28.9">
      <c r="A109" s="1" t="s">
        <v>31</v>
      </c>
      <c r="B109" s="4">
        <v>45912.66805555555</v>
      </c>
      <c r="C109" s="40">
        <f>Tableau1[[#This Row],[Date de début]]</f>
        <v>45912.66805555555</v>
      </c>
      <c r="D109" s="5">
        <v>45912.66805555555</v>
      </c>
      <c r="E109" s="5">
        <v>45912.749305555553</v>
      </c>
      <c r="F109" s="6">
        <v>1.95</v>
      </c>
      <c r="G109" s="1" t="s">
        <v>114</v>
      </c>
      <c r="H109" s="6">
        <v>0</v>
      </c>
      <c r="I109" s="6">
        <v>0</v>
      </c>
      <c r="J109" s="1" t="s">
        <v>2</v>
      </c>
      <c r="K109" s="1" t="s">
        <v>22</v>
      </c>
      <c r="L109" s="6">
        <v>0</v>
      </c>
      <c r="M109" s="6"/>
      <c r="N109" s="6"/>
      <c r="O109" s="6"/>
      <c r="P109" s="6" t="str">
        <f>IF(OR(Tableau1[[#This Row],[Projet ou client]]="Léane",Tableau1[[#This Row],[Projet ou client]]="Valentine",Tableau1[[#This Row],[Projet ou client]]="Léon",Tableau1[[#This Row],[Projet ou client]]="Camille"),"Cours particuliers","Autre")</f>
        <v>Autre</v>
      </c>
    </row>
    <row r="110" spans="1:16" ht="43.15">
      <c r="A110" s="1" t="s">
        <v>54</v>
      </c>
      <c r="B110" s="4">
        <v>45913.457638888889</v>
      </c>
      <c r="C110" s="40">
        <f>Tableau1[[#This Row],[Date de début]]</f>
        <v>45913.457638888889</v>
      </c>
      <c r="D110" s="5">
        <v>45913.457638888889</v>
      </c>
      <c r="E110" s="5">
        <v>45913.495833333334</v>
      </c>
      <c r="F110" s="6">
        <v>0.91700000000000004</v>
      </c>
      <c r="G110" s="1" t="s">
        <v>115</v>
      </c>
      <c r="H110" s="6">
        <v>0</v>
      </c>
      <c r="I110" s="6">
        <v>0</v>
      </c>
      <c r="J110" s="1" t="s">
        <v>2</v>
      </c>
      <c r="K110" s="1" t="s">
        <v>22</v>
      </c>
      <c r="L110" s="6">
        <v>0</v>
      </c>
      <c r="M110" s="6"/>
      <c r="N110" s="6"/>
      <c r="O110" s="6"/>
      <c r="P110" s="6" t="str">
        <f>IF(OR(Tableau1[[#This Row],[Projet ou client]]="Léane",Tableau1[[#This Row],[Projet ou client]]="Valentine",Tableau1[[#This Row],[Projet ou client]]="Léon",Tableau1[[#This Row],[Projet ou client]]="Camille"),"Cours particuliers","Autre")</f>
        <v>Autre</v>
      </c>
    </row>
    <row r="111" spans="1:16" ht="28.9">
      <c r="A111" s="1" t="s">
        <v>31</v>
      </c>
      <c r="B111" s="4">
        <v>45915.362500000003</v>
      </c>
      <c r="C111" s="40">
        <f>Tableau1[[#This Row],[Date de début]]</f>
        <v>45915.362500000003</v>
      </c>
      <c r="D111" s="5">
        <v>45915.362500000003</v>
      </c>
      <c r="E111" s="5">
        <v>45915.386111111111</v>
      </c>
      <c r="F111" s="6">
        <v>0.56699999999999995</v>
      </c>
      <c r="G111" s="1" t="s">
        <v>116</v>
      </c>
      <c r="H111" s="6">
        <v>0</v>
      </c>
      <c r="I111" s="6">
        <v>0</v>
      </c>
      <c r="J111" s="1" t="s">
        <v>2</v>
      </c>
      <c r="K111" s="1" t="s">
        <v>22</v>
      </c>
      <c r="L111" s="6">
        <v>0</v>
      </c>
      <c r="M111" s="6"/>
      <c r="N111" s="6"/>
      <c r="O111" s="6"/>
      <c r="P111" s="6" t="str">
        <f>IF(OR(Tableau1[[#This Row],[Projet ou client]]="Léane",Tableau1[[#This Row],[Projet ou client]]="Valentine",Tableau1[[#This Row],[Projet ou client]]="Léon",Tableau1[[#This Row],[Projet ou client]]="Camille"),"Cours particuliers","Autre")</f>
        <v>Autre</v>
      </c>
    </row>
    <row r="112" spans="1:16" ht="28.9">
      <c r="A112" s="1" t="s">
        <v>31</v>
      </c>
      <c r="B112" s="4">
        <v>45915.446527777778</v>
      </c>
      <c r="C112" s="40">
        <f>Tableau1[[#This Row],[Date de début]]</f>
        <v>45915.446527777778</v>
      </c>
      <c r="D112" s="5">
        <v>45915.446527777778</v>
      </c>
      <c r="E112" s="5">
        <v>45915.503472222219</v>
      </c>
      <c r="F112" s="6">
        <v>1.367</v>
      </c>
      <c r="G112" s="1" t="s">
        <v>117</v>
      </c>
      <c r="H112" s="6">
        <v>0</v>
      </c>
      <c r="I112" s="6">
        <v>0</v>
      </c>
      <c r="J112" s="1" t="s">
        <v>2</v>
      </c>
      <c r="K112" s="1" t="s">
        <v>22</v>
      </c>
      <c r="L112" s="6">
        <v>0</v>
      </c>
      <c r="M112" s="6"/>
      <c r="N112" s="6"/>
      <c r="O112" s="6"/>
      <c r="P112" s="6" t="str">
        <f>IF(OR(Tableau1[[#This Row],[Projet ou client]]="Léane",Tableau1[[#This Row],[Projet ou client]]="Valentine",Tableau1[[#This Row],[Projet ou client]]="Léon",Tableau1[[#This Row],[Projet ou client]]="Camille"),"Cours particuliers","Autre")</f>
        <v>Autre</v>
      </c>
    </row>
    <row r="113" spans="1:16">
      <c r="A113" s="1" t="s">
        <v>104</v>
      </c>
      <c r="B113" s="4">
        <v>45915.55069444445</v>
      </c>
      <c r="C113" s="40">
        <f>Tableau1[[#This Row],[Date de début]]</f>
        <v>45915.55069444445</v>
      </c>
      <c r="D113" s="5">
        <v>45915.55069444445</v>
      </c>
      <c r="E113" s="5">
        <v>45915.660416666666</v>
      </c>
      <c r="F113" s="6">
        <v>2.633</v>
      </c>
      <c r="G113" s="1" t="s">
        <v>118</v>
      </c>
      <c r="H113" s="6">
        <v>0</v>
      </c>
      <c r="I113" s="6">
        <v>0</v>
      </c>
      <c r="J113" s="1" t="s">
        <v>2</v>
      </c>
      <c r="K113" s="1" t="s">
        <v>22</v>
      </c>
      <c r="L113" s="6">
        <v>0</v>
      </c>
      <c r="M113" s="6"/>
      <c r="N113" s="6"/>
      <c r="O113" s="6"/>
      <c r="P113" s="6" t="str">
        <f>IF(OR(Tableau1[[#This Row],[Projet ou client]]="Léane",Tableau1[[#This Row],[Projet ou client]]="Valentine",Tableau1[[#This Row],[Projet ou client]]="Léon",Tableau1[[#This Row],[Projet ou client]]="Camille"),"Cours particuliers","Autre")</f>
        <v>Autre</v>
      </c>
    </row>
    <row r="114" spans="1:16" ht="28.9">
      <c r="A114" s="1" t="s">
        <v>31</v>
      </c>
      <c r="B114" s="4">
        <v>45915.700694444444</v>
      </c>
      <c r="C114" s="40">
        <f>Tableau1[[#This Row],[Date de début]]</f>
        <v>45915.700694444444</v>
      </c>
      <c r="D114" s="5">
        <v>45915.700694444444</v>
      </c>
      <c r="E114" s="5">
        <v>45915.793749999997</v>
      </c>
      <c r="F114" s="6">
        <v>2.2330000000000001</v>
      </c>
      <c r="G114" s="1" t="s">
        <v>119</v>
      </c>
      <c r="H114" s="6">
        <v>0</v>
      </c>
      <c r="I114" s="6">
        <v>0</v>
      </c>
      <c r="J114" s="1" t="s">
        <v>2</v>
      </c>
      <c r="K114" s="1" t="s">
        <v>22</v>
      </c>
      <c r="L114" s="6">
        <v>0</v>
      </c>
      <c r="M114" s="6"/>
      <c r="N114" s="6"/>
      <c r="O114" s="6"/>
      <c r="P114" s="6" t="str">
        <f>IF(OR(Tableau1[[#This Row],[Projet ou client]]="Léane",Tableau1[[#This Row],[Projet ou client]]="Valentine",Tableau1[[#This Row],[Projet ou client]]="Léon",Tableau1[[#This Row],[Projet ou client]]="Camille"),"Cours particuliers","Autre")</f>
        <v>Autre</v>
      </c>
    </row>
    <row r="115" spans="1:16">
      <c r="A115" s="1" t="s">
        <v>25</v>
      </c>
      <c r="B115" s="4">
        <v>45916.338194444441</v>
      </c>
      <c r="C115" s="40">
        <f>Tableau1[[#This Row],[Date de début]]</f>
        <v>45916.338194444441</v>
      </c>
      <c r="D115" s="5">
        <v>45916.338194444441</v>
      </c>
      <c r="E115" s="5">
        <v>45916.364583333328</v>
      </c>
      <c r="F115" s="6">
        <v>0.63300000000000001</v>
      </c>
      <c r="G115" s="1" t="s">
        <v>120</v>
      </c>
      <c r="H115" s="6">
        <v>0</v>
      </c>
      <c r="I115" s="6">
        <v>0</v>
      </c>
      <c r="J115" s="1" t="s">
        <v>2</v>
      </c>
      <c r="K115" s="1" t="s">
        <v>22</v>
      </c>
      <c r="L115" s="6">
        <v>0</v>
      </c>
      <c r="M115" s="6"/>
      <c r="N115" s="6"/>
      <c r="O115" s="6"/>
      <c r="P115" s="6" t="str">
        <f>IF(OR(Tableau1[[#This Row],[Projet ou client]]="Léane",Tableau1[[#This Row],[Projet ou client]]="Valentine",Tableau1[[#This Row],[Projet ou client]]="Léon",Tableau1[[#This Row],[Projet ou client]]="Camille"),"Cours particuliers","Autre")</f>
        <v>Autre</v>
      </c>
    </row>
    <row r="116" spans="1:16" ht="28.9">
      <c r="A116" s="1" t="s">
        <v>31</v>
      </c>
      <c r="B116" s="4">
        <v>45916.365277777775</v>
      </c>
      <c r="C116" s="40">
        <f>Tableau1[[#This Row],[Date de début]]</f>
        <v>45916.365277777775</v>
      </c>
      <c r="D116" s="5">
        <v>45916.365277777775</v>
      </c>
      <c r="E116" s="5">
        <v>45916.442361111112</v>
      </c>
      <c r="F116" s="6">
        <v>1.85</v>
      </c>
      <c r="G116" s="1" t="s">
        <v>49</v>
      </c>
      <c r="H116" s="6">
        <v>0</v>
      </c>
      <c r="I116" s="6">
        <v>0</v>
      </c>
      <c r="J116" s="1" t="s">
        <v>2</v>
      </c>
      <c r="K116" s="1" t="s">
        <v>22</v>
      </c>
      <c r="L116" s="6">
        <v>0</v>
      </c>
      <c r="M116" s="6"/>
      <c r="N116" s="6"/>
      <c r="O116" s="6"/>
      <c r="P116" s="6" t="str">
        <f>IF(OR(Tableau1[[#This Row],[Projet ou client]]="Léane",Tableau1[[#This Row],[Projet ou client]]="Valentine",Tableau1[[#This Row],[Projet ou client]]="Léon",Tableau1[[#This Row],[Projet ou client]]="Camille"),"Cours particuliers","Autre")</f>
        <v>Autre</v>
      </c>
    </row>
    <row r="117" spans="1:16" ht="28.9">
      <c r="A117" s="1" t="s">
        <v>50</v>
      </c>
      <c r="B117" s="4">
        <v>45916.474305555559</v>
      </c>
      <c r="C117" s="40">
        <f>Tableau1[[#This Row],[Date de début]]</f>
        <v>45916.474305555559</v>
      </c>
      <c r="D117" s="5">
        <v>45916.474305555559</v>
      </c>
      <c r="E117" s="5">
        <v>45916.501388888893</v>
      </c>
      <c r="F117" s="6">
        <v>0.65</v>
      </c>
      <c r="G117" s="1" t="s">
        <v>121</v>
      </c>
      <c r="H117" s="6">
        <v>0</v>
      </c>
      <c r="I117" s="6">
        <v>0</v>
      </c>
      <c r="J117" s="1" t="s">
        <v>2</v>
      </c>
      <c r="K117" s="1" t="s">
        <v>22</v>
      </c>
      <c r="L117" s="6">
        <v>0</v>
      </c>
      <c r="M117" s="6"/>
      <c r="N117" s="6"/>
      <c r="O117" s="6"/>
      <c r="P117" s="6" t="str">
        <f>IF(OR(Tableau1[[#This Row],[Projet ou client]]="Léane",Tableau1[[#This Row],[Projet ou client]]="Valentine",Tableau1[[#This Row],[Projet ou client]]="Léon",Tableau1[[#This Row],[Projet ou client]]="Camille"),"Cours particuliers","Autre")</f>
        <v>Autre</v>
      </c>
    </row>
    <row r="118" spans="1:16">
      <c r="A118" s="1" t="s">
        <v>104</v>
      </c>
      <c r="B118" s="4">
        <v>45916.549305555556</v>
      </c>
      <c r="C118" s="40">
        <f>Tableau1[[#This Row],[Date de début]]</f>
        <v>45916.549305555556</v>
      </c>
      <c r="D118" s="5">
        <v>45916.549305555556</v>
      </c>
      <c r="E118" s="5">
        <v>45916.677083333328</v>
      </c>
      <c r="F118" s="6">
        <v>3.0670000000000002</v>
      </c>
      <c r="G118" s="1" t="s">
        <v>122</v>
      </c>
      <c r="H118" s="6">
        <v>0</v>
      </c>
      <c r="I118" s="6">
        <v>0</v>
      </c>
      <c r="J118" s="1" t="s">
        <v>2</v>
      </c>
      <c r="K118" s="1" t="s">
        <v>22</v>
      </c>
      <c r="L118" s="6">
        <v>0</v>
      </c>
      <c r="M118" s="6"/>
      <c r="N118" s="6"/>
      <c r="O118" s="6"/>
      <c r="P118" s="6" t="str">
        <f>IF(OR(Tableau1[[#This Row],[Projet ou client]]="Léane",Tableau1[[#This Row],[Projet ou client]]="Valentine",Tableau1[[#This Row],[Projet ou client]]="Léon",Tableau1[[#This Row],[Projet ou client]]="Camille"),"Cours particuliers","Autre")</f>
        <v>Autre</v>
      </c>
    </row>
    <row r="119" spans="1:16">
      <c r="A119" s="1" t="s">
        <v>123</v>
      </c>
      <c r="B119" s="4">
        <v>45916.777777777781</v>
      </c>
      <c r="C119" s="40">
        <f>Tableau1[[#This Row],[Date de début]]</f>
        <v>45916.777777777781</v>
      </c>
      <c r="D119" s="5">
        <v>45916.777777777781</v>
      </c>
      <c r="E119" s="5">
        <v>45916.795833333337</v>
      </c>
      <c r="F119" s="6">
        <v>0.433</v>
      </c>
      <c r="G119" s="1" t="s">
        <v>74</v>
      </c>
      <c r="H119" s="6">
        <v>0</v>
      </c>
      <c r="I119" s="6">
        <v>0</v>
      </c>
      <c r="J119" s="1" t="s">
        <v>2</v>
      </c>
      <c r="K119" s="1" t="s">
        <v>22</v>
      </c>
      <c r="L119" s="6">
        <v>0</v>
      </c>
      <c r="M119" s="6"/>
      <c r="N119" s="6"/>
      <c r="O119" s="6"/>
      <c r="P119" s="6" t="str">
        <f>IF(OR(Tableau1[[#This Row],[Projet ou client]]="Léane",Tableau1[[#This Row],[Projet ou client]]="Valentine",Tableau1[[#This Row],[Projet ou client]]="Léon",Tableau1[[#This Row],[Projet ou client]]="Camille"),"Cours particuliers","Autre")</f>
        <v>Autre</v>
      </c>
    </row>
    <row r="120" spans="1:16">
      <c r="A120" s="1" t="s">
        <v>25</v>
      </c>
      <c r="B120" s="4">
        <v>45916.796527777777</v>
      </c>
      <c r="C120" s="40">
        <f>Tableau1[[#This Row],[Date de début]]</f>
        <v>45916.796527777777</v>
      </c>
      <c r="D120" s="5">
        <v>45916.796527777777</v>
      </c>
      <c r="E120" s="5">
        <v>45916.804166666669</v>
      </c>
      <c r="F120" s="6">
        <v>0.183</v>
      </c>
      <c r="G120" s="1" t="s">
        <v>39</v>
      </c>
      <c r="H120" s="6">
        <v>0</v>
      </c>
      <c r="I120" s="6">
        <v>0</v>
      </c>
      <c r="J120" s="1" t="s">
        <v>2</v>
      </c>
      <c r="K120" s="1" t="s">
        <v>22</v>
      </c>
      <c r="L120" s="6">
        <v>0</v>
      </c>
      <c r="M120" s="6"/>
      <c r="N120" s="6"/>
      <c r="O120" s="6"/>
      <c r="P120" s="6" t="str">
        <f>IF(OR(Tableau1[[#This Row],[Projet ou client]]="Léane",Tableau1[[#This Row],[Projet ou client]]="Valentine",Tableau1[[#This Row],[Projet ou client]]="Léon",Tableau1[[#This Row],[Projet ou client]]="Camille"),"Cours particuliers","Autre")</f>
        <v>Autre</v>
      </c>
    </row>
    <row r="121" spans="1:16" ht="43.15">
      <c r="A121" s="1" t="s">
        <v>54</v>
      </c>
      <c r="B121" s="4">
        <v>45917.279166666667</v>
      </c>
      <c r="C121" s="40">
        <f>Tableau1[[#This Row],[Date de début]]</f>
        <v>45917.279166666667</v>
      </c>
      <c r="D121" s="5">
        <v>45917.279166666667</v>
      </c>
      <c r="E121" s="5">
        <v>45917.283333333333</v>
      </c>
      <c r="F121" s="6">
        <v>0.1</v>
      </c>
      <c r="G121" s="1" t="s">
        <v>57</v>
      </c>
      <c r="H121" s="6">
        <v>0</v>
      </c>
      <c r="I121" s="6">
        <v>0</v>
      </c>
      <c r="J121" s="1" t="s">
        <v>2</v>
      </c>
      <c r="K121" s="1" t="s">
        <v>22</v>
      </c>
      <c r="L121" s="6">
        <v>0</v>
      </c>
      <c r="M121" s="6"/>
      <c r="N121" s="6"/>
      <c r="O121" s="6"/>
      <c r="P121" s="6" t="str">
        <f>IF(OR(Tableau1[[#This Row],[Projet ou client]]="Léane",Tableau1[[#This Row],[Projet ou client]]="Valentine",Tableau1[[#This Row],[Projet ou client]]="Léon",Tableau1[[#This Row],[Projet ou client]]="Camille"),"Cours particuliers","Autre")</f>
        <v>Autre</v>
      </c>
    </row>
    <row r="122" spans="1:16" ht="28.9">
      <c r="A122" s="1" t="s">
        <v>31</v>
      </c>
      <c r="B122" s="4">
        <v>45917.283333333333</v>
      </c>
      <c r="C122" s="40">
        <f>Tableau1[[#This Row],[Date de début]]</f>
        <v>45917.283333333333</v>
      </c>
      <c r="D122" s="5">
        <v>45917.283333333333</v>
      </c>
      <c r="E122" s="5">
        <v>45917.308333333334</v>
      </c>
      <c r="F122" s="6">
        <v>0.6</v>
      </c>
      <c r="G122" s="1" t="s">
        <v>62</v>
      </c>
      <c r="H122" s="6">
        <v>0</v>
      </c>
      <c r="I122" s="6">
        <v>0</v>
      </c>
      <c r="J122" s="1" t="s">
        <v>2</v>
      </c>
      <c r="K122" s="1" t="s">
        <v>22</v>
      </c>
      <c r="L122" s="6">
        <v>0</v>
      </c>
      <c r="M122" s="6"/>
      <c r="N122" s="6"/>
      <c r="O122" s="6"/>
      <c r="P122" s="6" t="str">
        <f>IF(OR(Tableau1[[#This Row],[Projet ou client]]="Léane",Tableau1[[#This Row],[Projet ou client]]="Valentine",Tableau1[[#This Row],[Projet ou client]]="Léon",Tableau1[[#This Row],[Projet ou client]]="Camille"),"Cours particuliers","Autre")</f>
        <v>Autre</v>
      </c>
    </row>
    <row r="123" spans="1:16">
      <c r="A123" s="1" t="s">
        <v>104</v>
      </c>
      <c r="B123" s="4">
        <v>45917.323611111111</v>
      </c>
      <c r="C123" s="40">
        <f>Tableau1[[#This Row],[Date de début]]</f>
        <v>45917.323611111111</v>
      </c>
      <c r="D123" s="5">
        <v>45917.323611111111</v>
      </c>
      <c r="E123" s="5">
        <v>45917.431944444441</v>
      </c>
      <c r="F123" s="6">
        <v>2.6</v>
      </c>
      <c r="G123" s="1" t="s">
        <v>124</v>
      </c>
      <c r="H123" s="6">
        <v>0</v>
      </c>
      <c r="I123" s="6">
        <v>0</v>
      </c>
      <c r="J123" s="1" t="s">
        <v>2</v>
      </c>
      <c r="K123" s="1" t="s">
        <v>22</v>
      </c>
      <c r="L123" s="6">
        <v>0</v>
      </c>
      <c r="M123" s="6"/>
      <c r="N123" s="6"/>
      <c r="O123" s="6"/>
      <c r="P123" s="6" t="str">
        <f>IF(OR(Tableau1[[#This Row],[Projet ou client]]="Léane",Tableau1[[#This Row],[Projet ou client]]="Valentine",Tableau1[[#This Row],[Projet ou client]]="Léon",Tableau1[[#This Row],[Projet ou client]]="Camille"),"Cours particuliers","Autre")</f>
        <v>Autre</v>
      </c>
    </row>
    <row r="124" spans="1:16">
      <c r="A124" s="1" t="s">
        <v>71</v>
      </c>
      <c r="B124" s="4">
        <v>45917.450694444444</v>
      </c>
      <c r="C124" s="40">
        <f>Tableau1[[#This Row],[Date de début]]</f>
        <v>45917.450694444444</v>
      </c>
      <c r="D124" s="5">
        <v>45917.450694444444</v>
      </c>
      <c r="E124" s="5">
        <v>45917.495833333334</v>
      </c>
      <c r="F124" s="6">
        <v>1.083</v>
      </c>
      <c r="G124" s="1" t="s">
        <v>125</v>
      </c>
      <c r="H124" s="6">
        <v>40</v>
      </c>
      <c r="I124" s="6">
        <v>0</v>
      </c>
      <c r="J124" s="1" t="s">
        <v>2</v>
      </c>
      <c r="K124" s="1" t="s">
        <v>22</v>
      </c>
      <c r="L124" s="6">
        <v>43.32</v>
      </c>
      <c r="M124" s="6"/>
      <c r="N124" s="6"/>
      <c r="O124" s="6"/>
      <c r="P124" s="6" t="str">
        <f>IF(OR(Tableau1[[#This Row],[Projet ou client]]="Léane",Tableau1[[#This Row],[Projet ou client]]="Valentine",Tableau1[[#This Row],[Projet ou client]]="Léon",Tableau1[[#This Row],[Projet ou client]]="Camille"),"Cours particuliers","Autre")</f>
        <v>Cours particuliers</v>
      </c>
    </row>
    <row r="125" spans="1:16">
      <c r="A125" s="1" t="s">
        <v>25</v>
      </c>
      <c r="B125" s="4">
        <v>45917.563194444447</v>
      </c>
      <c r="C125" s="40">
        <f>Tableau1[[#This Row],[Date de début]]</f>
        <v>45917.563194444447</v>
      </c>
      <c r="D125" s="5">
        <v>45917.563194444447</v>
      </c>
      <c r="E125" s="5">
        <v>45917.608333333337</v>
      </c>
      <c r="F125" s="6">
        <v>1.083</v>
      </c>
      <c r="G125" s="1" t="s">
        <v>125</v>
      </c>
      <c r="H125" s="6">
        <v>0</v>
      </c>
      <c r="I125" s="6">
        <v>0</v>
      </c>
      <c r="J125" s="1" t="s">
        <v>2</v>
      </c>
      <c r="K125" s="1" t="s">
        <v>22</v>
      </c>
      <c r="L125" s="6">
        <v>0</v>
      </c>
      <c r="M125" s="6"/>
      <c r="N125" s="6"/>
      <c r="O125" s="6"/>
      <c r="P125" s="6" t="str">
        <f>IF(OR(Tableau1[[#This Row],[Projet ou client]]="Léane",Tableau1[[#This Row],[Projet ou client]]="Valentine",Tableau1[[#This Row],[Projet ou client]]="Léon",Tableau1[[#This Row],[Projet ou client]]="Camille"),"Cours particuliers","Autre")</f>
        <v>Autre</v>
      </c>
    </row>
    <row r="126" spans="1:16" ht="28.9">
      <c r="A126" s="1" t="s">
        <v>50</v>
      </c>
      <c r="B126" s="4">
        <v>45917.609722222223</v>
      </c>
      <c r="C126" s="40">
        <f>Tableau1[[#This Row],[Date de début]]</f>
        <v>45917.609722222223</v>
      </c>
      <c r="D126" s="5">
        <v>45917.609722222223</v>
      </c>
      <c r="E126" s="5">
        <v>45917.651388888888</v>
      </c>
      <c r="F126" s="6">
        <v>1</v>
      </c>
      <c r="G126" s="1" t="s">
        <v>126</v>
      </c>
      <c r="H126" s="6">
        <v>0</v>
      </c>
      <c r="I126" s="6">
        <v>0</v>
      </c>
      <c r="J126" s="1" t="s">
        <v>2</v>
      </c>
      <c r="K126" s="1" t="s">
        <v>22</v>
      </c>
      <c r="L126" s="6">
        <v>0</v>
      </c>
      <c r="M126" s="6"/>
      <c r="N126" s="6"/>
      <c r="O126" s="6"/>
      <c r="P126" s="6" t="str">
        <f>IF(OR(Tableau1[[#This Row],[Projet ou client]]="Léane",Tableau1[[#This Row],[Projet ou client]]="Valentine",Tableau1[[#This Row],[Projet ou client]]="Léon",Tableau1[[#This Row],[Projet ou client]]="Camille"),"Cours particuliers","Autre")</f>
        <v>Autre</v>
      </c>
    </row>
    <row r="127" spans="1:16">
      <c r="A127" s="1" t="s">
        <v>127</v>
      </c>
      <c r="B127" s="4">
        <v>45917.684027777781</v>
      </c>
      <c r="C127" s="40">
        <f>Tableau1[[#This Row],[Date de début]]</f>
        <v>45917.684027777781</v>
      </c>
      <c r="D127" s="5">
        <v>45917.684027777781</v>
      </c>
      <c r="E127" s="5">
        <v>45917.736805555556</v>
      </c>
      <c r="F127" s="6">
        <v>1.2669999999999999</v>
      </c>
      <c r="G127" s="1" t="s">
        <v>128</v>
      </c>
      <c r="H127" s="6">
        <v>40</v>
      </c>
      <c r="I127" s="6">
        <v>0</v>
      </c>
      <c r="J127" s="1" t="s">
        <v>2</v>
      </c>
      <c r="K127" s="1" t="s">
        <v>22</v>
      </c>
      <c r="L127" s="6">
        <v>50.679999999999993</v>
      </c>
      <c r="M127" s="6"/>
      <c r="N127" s="6"/>
      <c r="O127" s="6"/>
      <c r="P127" s="6" t="str">
        <f>IF(OR(Tableau1[[#This Row],[Projet ou client]]="Léane",Tableau1[[#This Row],[Projet ou client]]="Valentine",Tableau1[[#This Row],[Projet ou client]]="Léon",Tableau1[[#This Row],[Projet ou client]]="Camille"),"Cours particuliers","Autre")</f>
        <v>Cours particuliers</v>
      </c>
    </row>
    <row r="128" spans="1:16" ht="28.9">
      <c r="A128" s="1" t="s">
        <v>50</v>
      </c>
      <c r="B128" s="4">
        <v>45918.282638888893</v>
      </c>
      <c r="C128" s="40">
        <f>Tableau1[[#This Row],[Date de début]]</f>
        <v>45918.282638888893</v>
      </c>
      <c r="D128" s="5">
        <v>45918.282638888893</v>
      </c>
      <c r="E128" s="5">
        <v>45918.310416666667</v>
      </c>
      <c r="F128" s="6">
        <v>0.66700000000000004</v>
      </c>
      <c r="G128" s="1" t="s">
        <v>129</v>
      </c>
      <c r="H128" s="6">
        <v>0</v>
      </c>
      <c r="I128" s="6">
        <v>0</v>
      </c>
      <c r="J128" s="1" t="s">
        <v>2</v>
      </c>
      <c r="K128" s="1" t="s">
        <v>22</v>
      </c>
      <c r="L128" s="6">
        <v>0</v>
      </c>
      <c r="M128" s="6"/>
      <c r="N128" s="6"/>
      <c r="O128" s="6"/>
      <c r="P128" s="6" t="str">
        <f>IF(OR(Tableau1[[#This Row],[Projet ou client]]="Léane",Tableau1[[#This Row],[Projet ou client]]="Valentine",Tableau1[[#This Row],[Projet ou client]]="Léon",Tableau1[[#This Row],[Projet ou client]]="Camille"),"Cours particuliers","Autre")</f>
        <v>Autre</v>
      </c>
    </row>
    <row r="129" spans="1:16">
      <c r="A129" s="1" t="s">
        <v>104</v>
      </c>
      <c r="B129" s="4">
        <v>45918.323611111111</v>
      </c>
      <c r="C129" s="40">
        <f>Tableau1[[#This Row],[Date de début]]</f>
        <v>45918.323611111111</v>
      </c>
      <c r="D129" s="5">
        <v>45918.323611111111</v>
      </c>
      <c r="E129" s="5">
        <v>45918.492361111115</v>
      </c>
      <c r="F129" s="6">
        <v>4.05</v>
      </c>
      <c r="G129" s="1" t="s">
        <v>130</v>
      </c>
      <c r="H129" s="6">
        <v>0</v>
      </c>
      <c r="I129" s="6">
        <v>0</v>
      </c>
      <c r="J129" s="1" t="s">
        <v>2</v>
      </c>
      <c r="K129" s="1" t="s">
        <v>22</v>
      </c>
      <c r="L129" s="6">
        <v>0</v>
      </c>
      <c r="M129" s="6"/>
      <c r="N129" s="6"/>
      <c r="O129" s="6"/>
      <c r="P129" s="6" t="str">
        <f>IF(OR(Tableau1[[#This Row],[Projet ou client]]="Léane",Tableau1[[#This Row],[Projet ou client]]="Valentine",Tableau1[[#This Row],[Projet ou client]]="Léon",Tableau1[[#This Row],[Projet ou client]]="Camille"),"Cours particuliers","Autre")</f>
        <v>Autre</v>
      </c>
    </row>
    <row r="130" spans="1:16">
      <c r="A130" s="1" t="s">
        <v>88</v>
      </c>
      <c r="B130" s="4">
        <v>45918.553472222222</v>
      </c>
      <c r="C130" s="40">
        <f>Tableau1[[#This Row],[Date de début]]</f>
        <v>45918.553472222222</v>
      </c>
      <c r="D130" s="5">
        <v>45918.553472222222</v>
      </c>
      <c r="E130" s="5">
        <v>45918.753472222219</v>
      </c>
      <c r="F130" s="6">
        <v>4.8</v>
      </c>
      <c r="G130" s="1" t="s">
        <v>131</v>
      </c>
      <c r="H130" s="6">
        <v>0</v>
      </c>
      <c r="I130" s="6">
        <v>0</v>
      </c>
      <c r="J130" s="1" t="s">
        <v>2</v>
      </c>
      <c r="K130" s="1" t="s">
        <v>22</v>
      </c>
      <c r="L130" s="6">
        <v>0</v>
      </c>
      <c r="M130" s="6"/>
      <c r="N130" s="6"/>
      <c r="O130" s="6"/>
      <c r="P130" s="6" t="str">
        <f>IF(OR(Tableau1[[#This Row],[Projet ou client]]="Léane",Tableau1[[#This Row],[Projet ou client]]="Valentine",Tableau1[[#This Row],[Projet ou client]]="Léon",Tableau1[[#This Row],[Projet ou client]]="Camille"),"Cours particuliers","Autre")</f>
        <v>Autre</v>
      </c>
    </row>
    <row r="131" spans="1:16">
      <c r="A131" s="1" t="s">
        <v>88</v>
      </c>
      <c r="B131" s="4">
        <v>45919.33194444445</v>
      </c>
      <c r="C131" s="40">
        <f>Tableau1[[#This Row],[Date de début]]</f>
        <v>45919.33194444445</v>
      </c>
      <c r="D131" s="5">
        <v>45919.33194444445</v>
      </c>
      <c r="E131" s="5">
        <v>45919.486111111109</v>
      </c>
      <c r="F131" s="6">
        <v>3.7</v>
      </c>
      <c r="G131" s="1" t="s">
        <v>132</v>
      </c>
      <c r="H131" s="6">
        <v>0</v>
      </c>
      <c r="I131" s="6">
        <v>0</v>
      </c>
      <c r="J131" s="1" t="s">
        <v>2</v>
      </c>
      <c r="K131" s="1" t="s">
        <v>22</v>
      </c>
      <c r="L131" s="6">
        <v>0</v>
      </c>
      <c r="M131" s="6"/>
      <c r="N131" s="6"/>
      <c r="O131" s="6"/>
      <c r="P131" s="6" t="str">
        <f>IF(OR(Tableau1[[#This Row],[Projet ou client]]="Léane",Tableau1[[#This Row],[Projet ou client]]="Valentine",Tableau1[[#This Row],[Projet ou client]]="Léon",Tableau1[[#This Row],[Projet ou client]]="Camille"),"Cours particuliers","Autre")</f>
        <v>Autre</v>
      </c>
    </row>
    <row r="132" spans="1:16">
      <c r="A132" s="1" t="s">
        <v>25</v>
      </c>
      <c r="B132" s="4">
        <v>45920.548611111109</v>
      </c>
      <c r="C132" s="40">
        <f>Tableau1[[#This Row],[Date de début]]</f>
        <v>45920.548611111109</v>
      </c>
      <c r="D132" s="5">
        <v>45920.548611111109</v>
      </c>
      <c r="E132" s="5">
        <v>45920.652777777781</v>
      </c>
      <c r="F132" s="6">
        <v>2.5</v>
      </c>
      <c r="G132" s="1" t="s">
        <v>133</v>
      </c>
      <c r="H132" s="6">
        <v>0</v>
      </c>
      <c r="I132" s="6">
        <v>0</v>
      </c>
      <c r="J132" s="1" t="s">
        <v>2</v>
      </c>
      <c r="K132" s="1" t="s">
        <v>22</v>
      </c>
      <c r="L132" s="6">
        <v>0</v>
      </c>
      <c r="M132" s="6"/>
      <c r="N132" s="6"/>
      <c r="O132" s="6"/>
      <c r="P132" s="6" t="str">
        <f>IF(OR(Tableau1[[#This Row],[Projet ou client]]="Léane",Tableau1[[#This Row],[Projet ou client]]="Valentine",Tableau1[[#This Row],[Projet ou client]]="Léon",Tableau1[[#This Row],[Projet ou client]]="Camille"),"Cours particuliers","Autre")</f>
        <v>Autre</v>
      </c>
    </row>
    <row r="133" spans="1:16" ht="28.9">
      <c r="A133" s="1" t="s">
        <v>31</v>
      </c>
      <c r="B133" s="4">
        <v>45921.357638888891</v>
      </c>
      <c r="C133" s="40">
        <f>Tableau1[[#This Row],[Date de début]]</f>
        <v>45921.357638888891</v>
      </c>
      <c r="D133" s="5">
        <v>45921.357638888891</v>
      </c>
      <c r="E133" s="5">
        <v>45921.536111111112</v>
      </c>
      <c r="F133" s="6">
        <v>4.2830000000000004</v>
      </c>
      <c r="G133" s="1" t="s">
        <v>134</v>
      </c>
      <c r="H133" s="6">
        <v>0</v>
      </c>
      <c r="I133" s="6">
        <v>0</v>
      </c>
      <c r="J133" s="1" t="s">
        <v>2</v>
      </c>
      <c r="K133" s="1" t="s">
        <v>22</v>
      </c>
      <c r="L133" s="6">
        <v>0</v>
      </c>
      <c r="M133" s="6"/>
      <c r="N133" s="6"/>
      <c r="O133" s="6"/>
      <c r="P133" s="6" t="str">
        <f>IF(OR(Tableau1[[#This Row],[Projet ou client]]="Léane",Tableau1[[#This Row],[Projet ou client]]="Valentine",Tableau1[[#This Row],[Projet ou client]]="Léon",Tableau1[[#This Row],[Projet ou client]]="Camille"),"Cours particuliers","Autre")</f>
        <v>Autre</v>
      </c>
    </row>
    <row r="134" spans="1:16">
      <c r="A134" s="1" t="s">
        <v>25</v>
      </c>
      <c r="B134" s="4">
        <v>45921.702777777777</v>
      </c>
      <c r="C134" s="40">
        <f>Tableau1[[#This Row],[Date de début]]</f>
        <v>45921.702777777777</v>
      </c>
      <c r="D134" s="5">
        <v>45921.702777777777</v>
      </c>
      <c r="E134" s="5">
        <v>45921.743750000001</v>
      </c>
      <c r="F134" s="6">
        <v>0.93299999999999994</v>
      </c>
      <c r="G134" s="1" t="s">
        <v>43</v>
      </c>
      <c r="H134" s="6">
        <v>0</v>
      </c>
      <c r="I134" s="6">
        <v>0</v>
      </c>
      <c r="J134" s="1" t="s">
        <v>2</v>
      </c>
      <c r="K134" s="1" t="s">
        <v>22</v>
      </c>
      <c r="L134" s="6">
        <v>0</v>
      </c>
      <c r="M134" s="6"/>
      <c r="N134" s="6"/>
      <c r="O134" s="6"/>
      <c r="P134" s="6" t="str">
        <f>IF(OR(Tableau1[[#This Row],[Projet ou client]]="Léane",Tableau1[[#This Row],[Projet ou client]]="Valentine",Tableau1[[#This Row],[Projet ou client]]="Léon",Tableau1[[#This Row],[Projet ou client]]="Camille"),"Cours particuliers","Autre")</f>
        <v>Autre</v>
      </c>
    </row>
    <row r="135" spans="1:16" ht="28.9">
      <c r="A135" s="1" t="s">
        <v>31</v>
      </c>
      <c r="B135" s="4">
        <v>45921.743055555555</v>
      </c>
      <c r="C135" s="40">
        <f>Tableau1[[#This Row],[Date de début]]</f>
        <v>45921.743055555555</v>
      </c>
      <c r="D135" s="5">
        <v>45921.743055555555</v>
      </c>
      <c r="E135" s="5">
        <v>45921.785416666666</v>
      </c>
      <c r="F135" s="6">
        <v>1.0169999999999999</v>
      </c>
      <c r="G135" s="1" t="s">
        <v>135</v>
      </c>
      <c r="H135" s="6">
        <v>0</v>
      </c>
      <c r="I135" s="6">
        <v>0</v>
      </c>
      <c r="J135" s="1" t="s">
        <v>2</v>
      </c>
      <c r="K135" s="1" t="s">
        <v>22</v>
      </c>
      <c r="L135" s="6">
        <v>0</v>
      </c>
      <c r="M135" s="6"/>
      <c r="N135" s="6"/>
      <c r="O135" s="6"/>
      <c r="P135" s="6" t="str">
        <f>IF(OR(Tableau1[[#This Row],[Projet ou client]]="Léane",Tableau1[[#This Row],[Projet ou client]]="Valentine",Tableau1[[#This Row],[Projet ou client]]="Léon",Tableau1[[#This Row],[Projet ou client]]="Camille"),"Cours particuliers","Autre")</f>
        <v>Autre</v>
      </c>
    </row>
    <row r="136" spans="1:16" ht="28.9">
      <c r="A136" s="1" t="s">
        <v>31</v>
      </c>
      <c r="B136" s="4">
        <v>45922.272916666669</v>
      </c>
      <c r="C136" s="40">
        <f>Tableau1[[#This Row],[Date de début]]</f>
        <v>45922.272916666669</v>
      </c>
      <c r="D136" s="5">
        <v>45922.272916666669</v>
      </c>
      <c r="E136" s="5">
        <v>45922.349305555559</v>
      </c>
      <c r="F136" s="6">
        <v>1.583</v>
      </c>
      <c r="G136" s="1" t="s">
        <v>136</v>
      </c>
      <c r="H136" s="6">
        <v>0</v>
      </c>
      <c r="I136" s="6">
        <v>0</v>
      </c>
      <c r="J136" s="1" t="s">
        <v>2</v>
      </c>
      <c r="K136" s="1" t="s">
        <v>22</v>
      </c>
      <c r="L136" s="6">
        <v>0</v>
      </c>
      <c r="M136" s="6"/>
      <c r="N136" s="6"/>
      <c r="O136" s="6"/>
      <c r="P136" s="6" t="str">
        <f>IF(OR(Tableau1[[#This Row],[Projet ou client]]="Léane",Tableau1[[#This Row],[Projet ou client]]="Valentine",Tableau1[[#This Row],[Projet ou client]]="Léon",Tableau1[[#This Row],[Projet ou client]]="Camille"),"Cours particuliers","Autre")</f>
        <v>Autre</v>
      </c>
    </row>
    <row r="137" spans="1:16">
      <c r="A137" s="1" t="s">
        <v>25</v>
      </c>
      <c r="B137" s="4">
        <v>45922.37777777778</v>
      </c>
      <c r="C137" s="40">
        <f>Tableau1[[#This Row],[Date de début]]</f>
        <v>45922.37777777778</v>
      </c>
      <c r="D137" s="5">
        <v>45922.37777777778</v>
      </c>
      <c r="E137" s="5">
        <v>45922.381944444445</v>
      </c>
      <c r="F137" s="6">
        <v>0.1</v>
      </c>
      <c r="G137" s="1" t="s">
        <v>57</v>
      </c>
      <c r="H137" s="6">
        <v>0</v>
      </c>
      <c r="I137" s="6">
        <v>0</v>
      </c>
      <c r="J137" s="1" t="s">
        <v>2</v>
      </c>
      <c r="K137" s="1" t="s">
        <v>22</v>
      </c>
      <c r="L137" s="6">
        <v>0</v>
      </c>
      <c r="M137" s="6"/>
      <c r="N137" s="6"/>
      <c r="O137" s="6"/>
      <c r="P137" s="6" t="str">
        <f>IF(OR(Tableau1[[#This Row],[Projet ou client]]="Léane",Tableau1[[#This Row],[Projet ou client]]="Valentine",Tableau1[[#This Row],[Projet ou client]]="Léon",Tableau1[[#This Row],[Projet ou client]]="Camille"),"Cours particuliers","Autre")</f>
        <v>Autre</v>
      </c>
    </row>
    <row r="138" spans="1:16" ht="28.9">
      <c r="A138" s="1" t="s">
        <v>31</v>
      </c>
      <c r="B138" s="4">
        <v>45922.381944444445</v>
      </c>
      <c r="C138" s="40">
        <f>Tableau1[[#This Row],[Date de début]]</f>
        <v>45922.381944444445</v>
      </c>
      <c r="D138" s="5">
        <v>45922.381944444445</v>
      </c>
      <c r="E138" s="5">
        <v>45922.411111111112</v>
      </c>
      <c r="F138" s="6">
        <v>0.7</v>
      </c>
      <c r="G138" s="1" t="s">
        <v>137</v>
      </c>
      <c r="H138" s="6">
        <v>0</v>
      </c>
      <c r="I138" s="6">
        <v>0</v>
      </c>
      <c r="J138" s="1" t="s">
        <v>138</v>
      </c>
      <c r="K138" s="1" t="s">
        <v>22</v>
      </c>
      <c r="L138" s="6">
        <v>0</v>
      </c>
      <c r="M138" s="6"/>
      <c r="N138" s="6"/>
      <c r="O138" s="6"/>
      <c r="P138" s="6" t="str">
        <f>IF(OR(Tableau1[[#This Row],[Projet ou client]]="Léane",Tableau1[[#This Row],[Projet ou client]]="Valentine",Tableau1[[#This Row],[Projet ou client]]="Léon",Tableau1[[#This Row],[Projet ou client]]="Camille"),"Cours particuliers","Autre")</f>
        <v>Autre</v>
      </c>
    </row>
    <row r="139" spans="1:16">
      <c r="A139" s="1" t="s">
        <v>139</v>
      </c>
      <c r="B139" s="4">
        <v>45922.413888888885</v>
      </c>
      <c r="C139" s="40">
        <f>Tableau1[[#This Row],[Date de début]]</f>
        <v>45922.413888888885</v>
      </c>
      <c r="D139" s="5">
        <v>45922.413888888885</v>
      </c>
      <c r="E139" s="5">
        <v>45922.421527777777</v>
      </c>
      <c r="F139" s="6">
        <v>0.183</v>
      </c>
      <c r="G139" s="1" t="s">
        <v>39</v>
      </c>
      <c r="H139" s="6">
        <v>0</v>
      </c>
      <c r="I139" s="6">
        <v>0</v>
      </c>
      <c r="J139" s="1" t="s">
        <v>2</v>
      </c>
      <c r="K139" s="1" t="s">
        <v>22</v>
      </c>
      <c r="L139" s="6">
        <v>0</v>
      </c>
      <c r="M139" s="6"/>
      <c r="N139" s="6"/>
      <c r="O139" s="6"/>
      <c r="P139" s="6" t="str">
        <f>IF(OR(Tableau1[[#This Row],[Projet ou client]]="Léane",Tableau1[[#This Row],[Projet ou client]]="Valentine",Tableau1[[#This Row],[Projet ou client]]="Léon",Tableau1[[#This Row],[Projet ou client]]="Camille"),"Cours particuliers","Autre")</f>
        <v>Autre</v>
      </c>
    </row>
    <row r="140" spans="1:16">
      <c r="A140" s="1" t="s">
        <v>23</v>
      </c>
      <c r="B140" s="4">
        <v>45922.421527777777</v>
      </c>
      <c r="C140" s="40">
        <f>Tableau1[[#This Row],[Date de début]]</f>
        <v>45922.421527777777</v>
      </c>
      <c r="D140" s="5">
        <v>45922.421527777777</v>
      </c>
      <c r="E140" s="5">
        <v>45922.485416666663</v>
      </c>
      <c r="F140" s="6">
        <v>1.5329999999999999</v>
      </c>
      <c r="G140" s="1" t="s">
        <v>140</v>
      </c>
      <c r="H140" s="6">
        <v>0</v>
      </c>
      <c r="I140" s="6">
        <v>0</v>
      </c>
      <c r="J140" s="1" t="s">
        <v>2</v>
      </c>
      <c r="K140" s="1" t="s">
        <v>22</v>
      </c>
      <c r="L140" s="6">
        <v>0</v>
      </c>
      <c r="M140" s="6"/>
      <c r="N140" s="6"/>
      <c r="O140" s="6"/>
      <c r="P140" s="6" t="str">
        <f>IF(OR(Tableau1[[#This Row],[Projet ou client]]="Léane",Tableau1[[#This Row],[Projet ou client]]="Valentine",Tableau1[[#This Row],[Projet ou client]]="Léon",Tableau1[[#This Row],[Projet ou client]]="Camille"),"Cours particuliers","Autre")</f>
        <v>Autre</v>
      </c>
    </row>
    <row r="141" spans="1:16">
      <c r="A141" s="1" t="s">
        <v>88</v>
      </c>
      <c r="B141" s="4">
        <v>45922.516666666663</v>
      </c>
      <c r="C141" s="40">
        <f>Tableau1[[#This Row],[Date de début]]</f>
        <v>45922.516666666663</v>
      </c>
      <c r="D141" s="5">
        <v>45922.516666666663</v>
      </c>
      <c r="E141" s="5">
        <v>45922.719444444447</v>
      </c>
      <c r="F141" s="6">
        <v>4.867</v>
      </c>
      <c r="G141" s="1" t="s">
        <v>141</v>
      </c>
      <c r="H141" s="6">
        <v>0</v>
      </c>
      <c r="I141" s="6">
        <v>0</v>
      </c>
      <c r="J141" s="1" t="s">
        <v>2</v>
      </c>
      <c r="K141" s="1" t="s">
        <v>22</v>
      </c>
      <c r="L141" s="6">
        <v>0</v>
      </c>
      <c r="M141" s="6"/>
      <c r="N141" s="6"/>
      <c r="O141" s="6"/>
      <c r="P141" s="6" t="str">
        <f>IF(OR(Tableau1[[#This Row],[Projet ou client]]="Léane",Tableau1[[#This Row],[Projet ou client]]="Valentine",Tableau1[[#This Row],[Projet ou client]]="Léon",Tableau1[[#This Row],[Projet ou client]]="Camille"),"Cours particuliers","Autre")</f>
        <v>Autre</v>
      </c>
    </row>
    <row r="142" spans="1:16">
      <c r="A142" s="1" t="s">
        <v>88</v>
      </c>
      <c r="B142" s="4">
        <v>45923.345138888893</v>
      </c>
      <c r="C142" s="40">
        <f>Tableau1[[#This Row],[Date de début]]</f>
        <v>45923.345138888893</v>
      </c>
      <c r="D142" s="5">
        <v>45923.345138888893</v>
      </c>
      <c r="E142" s="5">
        <v>45923.52847222222</v>
      </c>
      <c r="F142" s="6">
        <v>4.4000000000000004</v>
      </c>
      <c r="G142" s="1" t="s">
        <v>142</v>
      </c>
      <c r="H142" s="6">
        <v>0</v>
      </c>
      <c r="I142" s="6">
        <v>0</v>
      </c>
      <c r="J142" s="1" t="s">
        <v>2</v>
      </c>
      <c r="K142" s="1" t="s">
        <v>22</v>
      </c>
      <c r="L142" s="6">
        <v>0</v>
      </c>
      <c r="M142" s="6"/>
      <c r="N142" s="6"/>
      <c r="O142" s="6"/>
      <c r="P142" s="6" t="str">
        <f>IF(OR(Tableau1[[#This Row],[Projet ou client]]="Léane",Tableau1[[#This Row],[Projet ou client]]="Valentine",Tableau1[[#This Row],[Projet ou client]]="Léon",Tableau1[[#This Row],[Projet ou client]]="Camille"),"Cours particuliers","Autre")</f>
        <v>Autre</v>
      </c>
    </row>
    <row r="143" spans="1:16">
      <c r="A143" s="1" t="s">
        <v>25</v>
      </c>
      <c r="B143" s="4">
        <v>45924.277083333334</v>
      </c>
      <c r="C143" s="40">
        <f>Tableau1[[#This Row],[Date de début]]</f>
        <v>45924.277083333334</v>
      </c>
      <c r="D143" s="5">
        <v>45924.277083333334</v>
      </c>
      <c r="E143" s="5">
        <v>45924.295138888891</v>
      </c>
      <c r="F143" s="6">
        <v>0.433</v>
      </c>
      <c r="G143" s="1" t="s">
        <v>74</v>
      </c>
      <c r="H143" s="6">
        <v>0</v>
      </c>
      <c r="I143" s="6">
        <v>0</v>
      </c>
      <c r="J143" s="1" t="s">
        <v>2</v>
      </c>
      <c r="K143" s="1" t="s">
        <v>22</v>
      </c>
      <c r="L143" s="6">
        <v>0</v>
      </c>
      <c r="M143" s="6"/>
      <c r="N143" s="6"/>
      <c r="O143" s="6"/>
      <c r="P143" s="6" t="str">
        <f>IF(OR(Tableau1[[#This Row],[Projet ou client]]="Léane",Tableau1[[#This Row],[Projet ou client]]="Valentine",Tableau1[[#This Row],[Projet ou client]]="Léon",Tableau1[[#This Row],[Projet ou client]]="Camille"),"Cours particuliers","Autre")</f>
        <v>Autre</v>
      </c>
    </row>
    <row r="144" spans="1:16">
      <c r="A144" s="1" t="s">
        <v>104</v>
      </c>
      <c r="B144" s="4">
        <v>45924.322916666672</v>
      </c>
      <c r="C144" s="40">
        <f>Tableau1[[#This Row],[Date de début]]</f>
        <v>45924.322916666672</v>
      </c>
      <c r="D144" s="5">
        <v>45924.322916666672</v>
      </c>
      <c r="E144" s="5">
        <v>45924.501388888893</v>
      </c>
      <c r="F144" s="6">
        <v>4.2830000000000004</v>
      </c>
      <c r="G144" s="1" t="s">
        <v>134</v>
      </c>
      <c r="H144" s="6">
        <v>0</v>
      </c>
      <c r="I144" s="6">
        <v>0</v>
      </c>
      <c r="J144" s="1" t="s">
        <v>2</v>
      </c>
      <c r="K144" s="1" t="s">
        <v>22</v>
      </c>
      <c r="L144" s="6">
        <v>0</v>
      </c>
      <c r="M144" s="6"/>
      <c r="N144" s="6"/>
      <c r="O144" s="6"/>
      <c r="P144" s="6" t="str">
        <f>IF(OR(Tableau1[[#This Row],[Projet ou client]]="Léane",Tableau1[[#This Row],[Projet ou client]]="Valentine",Tableau1[[#This Row],[Projet ou client]]="Léon",Tableau1[[#This Row],[Projet ou client]]="Camille"),"Cours particuliers","Autre")</f>
        <v>Autre</v>
      </c>
    </row>
    <row r="145" spans="1:16" ht="43.15">
      <c r="A145" s="1" t="s">
        <v>54</v>
      </c>
      <c r="B145" s="4">
        <v>45924.618750000001</v>
      </c>
      <c r="C145" s="40">
        <f>Tableau1[[#This Row],[Date de début]]</f>
        <v>45924.618750000001</v>
      </c>
      <c r="D145" s="5">
        <v>45924.618750000001</v>
      </c>
      <c r="E145" s="5">
        <v>45924.639583333337</v>
      </c>
      <c r="F145" s="6">
        <v>0.5</v>
      </c>
      <c r="G145" s="1" t="s">
        <v>79</v>
      </c>
      <c r="H145" s="6">
        <v>0</v>
      </c>
      <c r="I145" s="6">
        <v>0</v>
      </c>
      <c r="J145" s="1" t="s">
        <v>2</v>
      </c>
      <c r="K145" s="1" t="s">
        <v>22</v>
      </c>
      <c r="L145" s="6">
        <v>0</v>
      </c>
      <c r="M145" s="6"/>
      <c r="N145" s="6"/>
      <c r="O145" s="6"/>
      <c r="P145" s="6" t="str">
        <f>IF(OR(Tableau1[[#This Row],[Projet ou client]]="Léane",Tableau1[[#This Row],[Projet ou client]]="Valentine",Tableau1[[#This Row],[Projet ou client]]="Léon",Tableau1[[#This Row],[Projet ou client]]="Camille"),"Cours particuliers","Autre")</f>
        <v>Autre</v>
      </c>
    </row>
    <row r="146" spans="1:16" ht="28.9">
      <c r="A146" s="1" t="s">
        <v>50</v>
      </c>
      <c r="B146" s="4">
        <v>45924.647222222222</v>
      </c>
      <c r="C146" s="40">
        <f>Tableau1[[#This Row],[Date de début]]</f>
        <v>45924.647222222222</v>
      </c>
      <c r="D146" s="5">
        <v>45924.647222222222</v>
      </c>
      <c r="E146" s="5">
        <v>45924.665277777778</v>
      </c>
      <c r="F146" s="6">
        <v>0.433</v>
      </c>
      <c r="G146" s="1" t="s">
        <v>74</v>
      </c>
      <c r="H146" s="6">
        <v>0</v>
      </c>
      <c r="I146" s="6">
        <v>0</v>
      </c>
      <c r="J146" s="1" t="s">
        <v>2</v>
      </c>
      <c r="K146" s="1" t="s">
        <v>22</v>
      </c>
      <c r="L146" s="6">
        <v>0</v>
      </c>
      <c r="M146" s="6"/>
      <c r="N146" s="6"/>
      <c r="O146" s="6"/>
      <c r="P146" s="6" t="str">
        <f>IF(OR(Tableau1[[#This Row],[Projet ou client]]="Léane",Tableau1[[#This Row],[Projet ou client]]="Valentine",Tableau1[[#This Row],[Projet ou client]]="Léon",Tableau1[[#This Row],[Projet ou client]]="Camille"),"Cours particuliers","Autre")</f>
        <v>Autre</v>
      </c>
    </row>
    <row r="147" spans="1:16">
      <c r="A147" s="1" t="s">
        <v>127</v>
      </c>
      <c r="B147" s="4">
        <v>45924.688194444447</v>
      </c>
      <c r="C147" s="40">
        <f>Tableau1[[#This Row],[Date de début]]</f>
        <v>45924.688194444447</v>
      </c>
      <c r="D147" s="5">
        <v>45924.688194444447</v>
      </c>
      <c r="E147" s="5">
        <v>45924.743750000001</v>
      </c>
      <c r="F147" s="6">
        <v>1.333</v>
      </c>
      <c r="G147" s="1" t="s">
        <v>143</v>
      </c>
      <c r="H147" s="6">
        <v>40</v>
      </c>
      <c r="I147" s="6">
        <v>0</v>
      </c>
      <c r="J147" s="1" t="s">
        <v>2</v>
      </c>
      <c r="K147" s="1" t="s">
        <v>22</v>
      </c>
      <c r="L147" s="6">
        <v>53.32</v>
      </c>
      <c r="M147" s="6"/>
      <c r="N147" s="6"/>
      <c r="O147" s="6"/>
      <c r="P147" s="6" t="str">
        <f>IF(OR(Tableau1[[#This Row],[Projet ou client]]="Léane",Tableau1[[#This Row],[Projet ou client]]="Valentine",Tableau1[[#This Row],[Projet ou client]]="Léon",Tableau1[[#This Row],[Projet ou client]]="Camille"),"Cours particuliers","Autre")</f>
        <v>Cours particuliers</v>
      </c>
    </row>
    <row r="148" spans="1:16" ht="28.9">
      <c r="A148" s="1" t="s">
        <v>50</v>
      </c>
      <c r="B148" s="4">
        <v>45925.281944444447</v>
      </c>
      <c r="C148" s="40">
        <f>Tableau1[[#This Row],[Date de début]]</f>
        <v>45925.281944444447</v>
      </c>
      <c r="D148" s="5">
        <v>45925.281944444447</v>
      </c>
      <c r="E148" s="5">
        <v>45925.3</v>
      </c>
      <c r="F148" s="6">
        <v>0.433</v>
      </c>
      <c r="G148" s="1" t="s">
        <v>74</v>
      </c>
      <c r="H148" s="6">
        <v>0</v>
      </c>
      <c r="I148" s="6">
        <v>0</v>
      </c>
      <c r="J148" s="1" t="s">
        <v>2</v>
      </c>
      <c r="K148" s="1" t="s">
        <v>22</v>
      </c>
      <c r="L148" s="6">
        <v>0</v>
      </c>
      <c r="M148" s="6"/>
      <c r="N148" s="6"/>
      <c r="O148" s="6"/>
      <c r="P148" s="6" t="str">
        <f>IF(OR(Tableau1[[#This Row],[Projet ou client]]="Léane",Tableau1[[#This Row],[Projet ou client]]="Valentine",Tableau1[[#This Row],[Projet ou client]]="Léon",Tableau1[[#This Row],[Projet ou client]]="Camille"),"Cours particuliers","Autre")</f>
        <v>Autre</v>
      </c>
    </row>
    <row r="149" spans="1:16">
      <c r="A149" s="1" t="s">
        <v>104</v>
      </c>
      <c r="B149" s="4">
        <v>45925.322222222225</v>
      </c>
      <c r="C149" s="40">
        <f>Tableau1[[#This Row],[Date de début]]</f>
        <v>45925.322222222225</v>
      </c>
      <c r="D149" s="5">
        <v>45925.322222222225</v>
      </c>
      <c r="E149" s="5">
        <v>45925.511111111111</v>
      </c>
      <c r="F149" s="6">
        <v>4.5330000000000004</v>
      </c>
      <c r="G149" s="1" t="s">
        <v>144</v>
      </c>
      <c r="H149" s="6">
        <v>0</v>
      </c>
      <c r="I149" s="6">
        <v>0</v>
      </c>
      <c r="J149" s="1" t="s">
        <v>2</v>
      </c>
      <c r="K149" s="1" t="s">
        <v>22</v>
      </c>
      <c r="L149" s="6">
        <v>0</v>
      </c>
      <c r="M149" s="6"/>
      <c r="N149" s="6"/>
      <c r="O149" s="6"/>
      <c r="P149" s="6" t="str">
        <f>IF(OR(Tableau1[[#This Row],[Projet ou client]]="Léane",Tableau1[[#This Row],[Projet ou client]]="Valentine",Tableau1[[#This Row],[Projet ou client]]="Léon",Tableau1[[#This Row],[Projet ou client]]="Camille"),"Cours particuliers","Autre")</f>
        <v>Autre</v>
      </c>
    </row>
    <row r="150" spans="1:16">
      <c r="A150" s="1" t="s">
        <v>25</v>
      </c>
      <c r="B150" s="4">
        <v>45925.628472222219</v>
      </c>
      <c r="C150" s="40">
        <f>Tableau1[[#This Row],[Date de début]]</f>
        <v>45925.628472222219</v>
      </c>
      <c r="D150" s="5">
        <v>45925.628472222219</v>
      </c>
      <c r="E150" s="5">
        <v>45925.645833333328</v>
      </c>
      <c r="F150" s="6">
        <v>0.41699999999999998</v>
      </c>
      <c r="G150" s="1" t="s">
        <v>145</v>
      </c>
      <c r="H150" s="6">
        <v>0</v>
      </c>
      <c r="I150" s="6">
        <v>0</v>
      </c>
      <c r="J150" s="1" t="s">
        <v>2</v>
      </c>
      <c r="K150" s="1" t="s">
        <v>22</v>
      </c>
      <c r="L150" s="6">
        <v>0</v>
      </c>
      <c r="M150" s="6"/>
      <c r="N150" s="6"/>
      <c r="O150" s="6"/>
      <c r="P150" s="6" t="str">
        <f>IF(OR(Tableau1[[#This Row],[Projet ou client]]="Léane",Tableau1[[#This Row],[Projet ou client]]="Valentine",Tableau1[[#This Row],[Projet ou client]]="Léon",Tableau1[[#This Row],[Projet ou client]]="Camille"),"Cours particuliers","Autre")</f>
        <v>Autre</v>
      </c>
    </row>
    <row r="151" spans="1:16">
      <c r="A151" s="1" t="s">
        <v>110</v>
      </c>
      <c r="B151" s="4">
        <v>45925.688194444447</v>
      </c>
      <c r="C151" s="40">
        <f>Tableau1[[#This Row],[Date de début]]</f>
        <v>45925.688194444447</v>
      </c>
      <c r="D151" s="5">
        <v>45925.688194444447</v>
      </c>
      <c r="E151" s="5">
        <v>45925.73055555555</v>
      </c>
      <c r="F151" s="6">
        <v>1.0169999999999999</v>
      </c>
      <c r="G151" s="1" t="s">
        <v>135</v>
      </c>
      <c r="H151" s="6">
        <v>35</v>
      </c>
      <c r="I151" s="6">
        <v>0</v>
      </c>
      <c r="J151" s="1" t="s">
        <v>2</v>
      </c>
      <c r="K151" s="1" t="s">
        <v>22</v>
      </c>
      <c r="L151" s="6">
        <v>35.594999999999999</v>
      </c>
      <c r="M151" s="6"/>
      <c r="N151" s="6"/>
      <c r="O151" s="6"/>
      <c r="P151" s="6" t="str">
        <f>IF(OR(Tableau1[[#This Row],[Projet ou client]]="Léane",Tableau1[[#This Row],[Projet ou client]]="Valentine",Tableau1[[#This Row],[Projet ou client]]="Léon",Tableau1[[#This Row],[Projet ou client]]="Camille"),"Cours particuliers","Autre")</f>
        <v>Cours particuliers</v>
      </c>
    </row>
    <row r="152" spans="1:16">
      <c r="A152" s="1" t="s">
        <v>104</v>
      </c>
      <c r="B152" s="4">
        <v>45925.754861111112</v>
      </c>
      <c r="C152" s="40">
        <f>Tableau1[[#This Row],[Date de début]]</f>
        <v>45925.754861111112</v>
      </c>
      <c r="D152" s="5">
        <v>45925.754861111112</v>
      </c>
      <c r="E152" s="5">
        <v>45925.797916666663</v>
      </c>
      <c r="F152" s="6">
        <v>1.0329999999999999</v>
      </c>
      <c r="G152" s="1" t="s">
        <v>73</v>
      </c>
      <c r="H152" s="6">
        <v>0</v>
      </c>
      <c r="I152" s="6">
        <v>0</v>
      </c>
      <c r="J152" s="1" t="s">
        <v>2</v>
      </c>
      <c r="K152" s="1" t="s">
        <v>22</v>
      </c>
      <c r="L152" s="6">
        <v>0</v>
      </c>
      <c r="M152" s="6"/>
      <c r="N152" s="6"/>
      <c r="O152" s="6"/>
      <c r="P152" s="6" t="str">
        <f>IF(OR(Tableau1[[#This Row],[Projet ou client]]="Léane",Tableau1[[#This Row],[Projet ou client]]="Valentine",Tableau1[[#This Row],[Projet ou client]]="Léon",Tableau1[[#This Row],[Projet ou client]]="Camille"),"Cours particuliers","Autre")</f>
        <v>Autre</v>
      </c>
    </row>
    <row r="153" spans="1:16">
      <c r="A153" s="1" t="s">
        <v>104</v>
      </c>
      <c r="B153" s="4">
        <v>45926.324999999997</v>
      </c>
      <c r="C153" s="40">
        <f>Tableau1[[#This Row],[Date de début]]</f>
        <v>45926.324999999997</v>
      </c>
      <c r="D153" s="5">
        <v>45926.324999999997</v>
      </c>
      <c r="E153" s="5">
        <v>45926.514583333337</v>
      </c>
      <c r="F153" s="6">
        <v>4.55</v>
      </c>
      <c r="G153" s="1" t="s">
        <v>146</v>
      </c>
      <c r="H153" s="6">
        <v>0</v>
      </c>
      <c r="I153" s="6">
        <v>0</v>
      </c>
      <c r="J153" s="1" t="s">
        <v>2</v>
      </c>
      <c r="K153" s="1" t="s">
        <v>22</v>
      </c>
      <c r="L153" s="6">
        <v>0</v>
      </c>
      <c r="M153" s="6"/>
      <c r="N153" s="6"/>
      <c r="O153" s="6"/>
      <c r="P153" s="6" t="str">
        <f>IF(OR(Tableau1[[#This Row],[Projet ou client]]="Léane",Tableau1[[#This Row],[Projet ou client]]="Valentine",Tableau1[[#This Row],[Projet ou client]]="Léon",Tableau1[[#This Row],[Projet ou client]]="Camille"),"Cours particuliers","Autre")</f>
        <v>Autre</v>
      </c>
    </row>
    <row r="154" spans="1:16">
      <c r="A154" s="1" t="s">
        <v>100</v>
      </c>
      <c r="B154" s="4">
        <v>45926.54305555555</v>
      </c>
      <c r="C154" s="40">
        <f>Tableau1[[#This Row],[Date de début]]</f>
        <v>45926.54305555555</v>
      </c>
      <c r="D154" s="5">
        <v>45926.54305555555</v>
      </c>
      <c r="E154" s="5">
        <v>45926.570833333331</v>
      </c>
      <c r="F154" s="6">
        <v>0.66700000000000004</v>
      </c>
      <c r="G154" s="1" t="s">
        <v>129</v>
      </c>
      <c r="H154" s="6">
        <v>0</v>
      </c>
      <c r="I154" s="6">
        <v>0</v>
      </c>
      <c r="J154" s="1" t="s">
        <v>2</v>
      </c>
      <c r="K154" s="1" t="s">
        <v>22</v>
      </c>
      <c r="L154" s="6">
        <v>0</v>
      </c>
      <c r="M154" s="6"/>
      <c r="N154" s="6"/>
      <c r="O154" s="6"/>
      <c r="P154" s="6" t="str">
        <f>IF(OR(Tableau1[[#This Row],[Projet ou client]]="Léane",Tableau1[[#This Row],[Projet ou client]]="Valentine",Tableau1[[#This Row],[Projet ou client]]="Léon",Tableau1[[#This Row],[Projet ou client]]="Camille"),"Cours particuliers","Autre")</f>
        <v>Autre</v>
      </c>
    </row>
    <row r="155" spans="1:16">
      <c r="A155" s="1" t="s">
        <v>78</v>
      </c>
      <c r="B155" s="4">
        <v>45926.590277777781</v>
      </c>
      <c r="C155" s="40">
        <f>Tableau1[[#This Row],[Date de début]]</f>
        <v>45926.590277777781</v>
      </c>
      <c r="D155" s="5">
        <v>45926.590277777781</v>
      </c>
      <c r="E155" s="5">
        <v>45926.610416666663</v>
      </c>
      <c r="F155" s="6">
        <v>0.48299999999999998</v>
      </c>
      <c r="G155" s="1" t="s">
        <v>147</v>
      </c>
      <c r="H155" s="6">
        <v>0</v>
      </c>
      <c r="I155" s="6">
        <v>0</v>
      </c>
      <c r="J155" s="1" t="s">
        <v>2</v>
      </c>
      <c r="K155" s="1" t="s">
        <v>22</v>
      </c>
      <c r="L155" s="6">
        <v>0</v>
      </c>
      <c r="M155" s="6"/>
      <c r="N155" s="6"/>
      <c r="O155" s="6"/>
      <c r="P155" s="6" t="str">
        <f>IF(OR(Tableau1[[#This Row],[Projet ou client]]="Léane",Tableau1[[#This Row],[Projet ou client]]="Valentine",Tableau1[[#This Row],[Projet ou client]]="Léon",Tableau1[[#This Row],[Projet ou client]]="Camille"),"Cours particuliers","Autre")</f>
        <v>Autre</v>
      </c>
    </row>
    <row r="156" spans="1:16">
      <c r="A156" s="1" t="s">
        <v>84</v>
      </c>
      <c r="B156" s="4">
        <v>45926.617361111115</v>
      </c>
      <c r="C156" s="40">
        <f>Tableau1[[#This Row],[Date de début]]</f>
        <v>45926.617361111115</v>
      </c>
      <c r="D156" s="5">
        <v>45926.617361111115</v>
      </c>
      <c r="E156" s="5">
        <v>45926.638194444444</v>
      </c>
      <c r="F156" s="6">
        <v>0.5</v>
      </c>
      <c r="G156" s="1" t="s">
        <v>79</v>
      </c>
      <c r="H156" s="6">
        <v>0</v>
      </c>
      <c r="I156" s="6">
        <v>0</v>
      </c>
      <c r="J156" s="1" t="s">
        <v>2</v>
      </c>
      <c r="K156" s="1" t="s">
        <v>22</v>
      </c>
      <c r="L156" s="6">
        <v>0</v>
      </c>
      <c r="M156" s="6"/>
      <c r="N156" s="6"/>
      <c r="O156" s="6"/>
      <c r="P156" s="6" t="str">
        <f>IF(OR(Tableau1[[#This Row],[Projet ou client]]="Léane",Tableau1[[#This Row],[Projet ou client]]="Valentine",Tableau1[[#This Row],[Projet ou client]]="Léon",Tableau1[[#This Row],[Projet ou client]]="Camille"),"Cours particuliers","Autre")</f>
        <v>Autre</v>
      </c>
    </row>
    <row r="157" spans="1:16">
      <c r="A157" s="1" t="s">
        <v>104</v>
      </c>
      <c r="B157" s="4">
        <v>45931.327083333337</v>
      </c>
      <c r="C157" s="40">
        <f>Tableau1[[#This Row],[Date de début]]</f>
        <v>45931.327083333337</v>
      </c>
      <c r="D157" s="5">
        <f t="shared" ref="D157:D188" si="0">C157</f>
        <v>45931.327083333337</v>
      </c>
      <c r="E157" s="5">
        <v>45931.430555555555</v>
      </c>
      <c r="F157" s="6">
        <f t="shared" ref="F157:F188" si="1">MAX(ROUND((E157-C157)*24,3)-N157,0)</f>
        <v>2.4830000000000001</v>
      </c>
      <c r="G157" s="1" t="str">
        <f t="shared" ref="G157:G188" si="2">IF(FLOOR(TRUNC(F157),1)&gt;0,FLOOR(TRUNC(F157),1)&amp;"h "&amp;FLOOR(ROUND((F157-FLOOR(TRUNC(F157),1))*60,0),1)&amp;"min",FLOOR(ROUND((F157-FLOOR(TRUNC(F157),1))*60,0),1)&amp;"m")</f>
        <v>2h 29min</v>
      </c>
      <c r="H157" s="6">
        <v>0</v>
      </c>
      <c r="I157" s="6">
        <v>0</v>
      </c>
      <c r="J157" s="1" t="s">
        <v>2</v>
      </c>
      <c r="K157" s="1" t="s">
        <v>22</v>
      </c>
      <c r="L157" s="6">
        <f>Tableau1[[#This Row],[Tarif horaire]]*Tableau1[[#This Row],[Durée]]</f>
        <v>0</v>
      </c>
      <c r="M157" s="6"/>
      <c r="N157" s="6"/>
      <c r="O157" s="6"/>
      <c r="P157" s="6" t="str">
        <f>IF(OR(Tableau1[[#This Row],[Projet ou client]]="Léane",Tableau1[[#This Row],[Projet ou client]]="Valentine",Tableau1[[#This Row],[Projet ou client]]="Léon",Tableau1[[#This Row],[Projet ou client]]="Camille"),"Cours particuliers","Autre")</f>
        <v>Autre</v>
      </c>
    </row>
    <row r="158" spans="1:16">
      <c r="A158" s="1" t="s">
        <v>25</v>
      </c>
      <c r="B158" s="4">
        <v>45931.457638888889</v>
      </c>
      <c r="C158" s="40">
        <f>Tableau1[[#This Row],[Date de début]]</f>
        <v>45931.457638888889</v>
      </c>
      <c r="D158" s="5">
        <f t="shared" si="0"/>
        <v>45931.457638888889</v>
      </c>
      <c r="E158" s="5">
        <v>45931.487500000003</v>
      </c>
      <c r="F158" s="6">
        <f t="shared" si="1"/>
        <v>0.71699999999999997</v>
      </c>
      <c r="G158" s="1" t="str">
        <f t="shared" si="2"/>
        <v>43m</v>
      </c>
      <c r="H158" s="6">
        <v>0</v>
      </c>
      <c r="I158" s="6">
        <v>0</v>
      </c>
      <c r="J158" s="1" t="s">
        <v>2</v>
      </c>
      <c r="K158" s="1" t="s">
        <v>22</v>
      </c>
      <c r="L158" s="6">
        <f>Tableau1[[#This Row],[Tarif horaire]]*Tableau1[[#This Row],[Durée]]</f>
        <v>0</v>
      </c>
      <c r="M158" s="6"/>
      <c r="N158" s="6"/>
      <c r="O158" s="6"/>
      <c r="P158" s="6" t="str">
        <f>IF(OR(Tableau1[[#This Row],[Projet ou client]]="Léane",Tableau1[[#This Row],[Projet ou client]]="Valentine",Tableau1[[#This Row],[Projet ou client]]="Léon",Tableau1[[#This Row],[Projet ou client]]="Camille"),"Cours particuliers","Autre")</f>
        <v>Autre</v>
      </c>
    </row>
    <row r="159" spans="1:16" ht="28.9">
      <c r="A159" s="1" t="s">
        <v>31</v>
      </c>
      <c r="B159" s="4">
        <v>45931.487500000003</v>
      </c>
      <c r="C159" s="40">
        <f>Tableau1[[#This Row],[Date de début]]</f>
        <v>45931.487500000003</v>
      </c>
      <c r="D159" s="5">
        <f t="shared" si="0"/>
        <v>45931.487500000003</v>
      </c>
      <c r="E159" s="5">
        <v>45931.534722222219</v>
      </c>
      <c r="F159" s="6">
        <f t="shared" si="1"/>
        <v>1.133</v>
      </c>
      <c r="G159" s="1" t="str">
        <f t="shared" si="2"/>
        <v>1h 8min</v>
      </c>
      <c r="H159" s="6">
        <v>0</v>
      </c>
      <c r="I159" s="6">
        <v>0</v>
      </c>
      <c r="J159" s="1" t="s">
        <v>2</v>
      </c>
      <c r="K159" s="1" t="s">
        <v>22</v>
      </c>
      <c r="L159" s="6">
        <f>Tableau1[[#This Row],[Tarif horaire]]*Tableau1[[#This Row],[Durée]]</f>
        <v>0</v>
      </c>
      <c r="M159" s="6"/>
      <c r="N159" s="6"/>
      <c r="O159" s="6"/>
      <c r="P159" s="6" t="str">
        <f>IF(OR(Tableau1[[#This Row],[Projet ou client]]="Léane",Tableau1[[#This Row],[Projet ou client]]="Valentine",Tableau1[[#This Row],[Projet ou client]]="Léon",Tableau1[[#This Row],[Projet ou client]]="Camille"),"Cours particuliers","Autre")</f>
        <v>Autre</v>
      </c>
    </row>
    <row r="160" spans="1:16" ht="28.9">
      <c r="A160" s="1" t="s">
        <v>31</v>
      </c>
      <c r="B160" s="4">
        <v>45931.556250000001</v>
      </c>
      <c r="C160" s="40">
        <f>Tableau1[[#This Row],[Date de début]]</f>
        <v>45931.556250000001</v>
      </c>
      <c r="D160" s="5">
        <f t="shared" si="0"/>
        <v>45931.556250000001</v>
      </c>
      <c r="E160" s="5">
        <v>45931.606249999997</v>
      </c>
      <c r="F160" s="6">
        <f t="shared" si="1"/>
        <v>1.2</v>
      </c>
      <c r="G160" s="1" t="str">
        <f t="shared" si="2"/>
        <v>1h 12min</v>
      </c>
      <c r="H160" s="6">
        <v>0</v>
      </c>
      <c r="I160" s="6">
        <v>0</v>
      </c>
      <c r="J160" s="1" t="s">
        <v>2</v>
      </c>
      <c r="K160" s="1" t="s">
        <v>22</v>
      </c>
      <c r="L160" s="6">
        <f>Tableau1[[#This Row],[Tarif horaire]]*Tableau1[[#This Row],[Durée]]</f>
        <v>0</v>
      </c>
      <c r="M160" s="6"/>
      <c r="N160" s="6"/>
      <c r="O160" s="6"/>
      <c r="P160" s="6" t="str">
        <f>IF(OR(Tableau1[[#This Row],[Projet ou client]]="Léane",Tableau1[[#This Row],[Projet ou client]]="Valentine",Tableau1[[#This Row],[Projet ou client]]="Léon",Tableau1[[#This Row],[Projet ou client]]="Camille"),"Cours particuliers","Autre")</f>
        <v>Autre</v>
      </c>
    </row>
    <row r="161" spans="1:16">
      <c r="A161" s="1" t="s">
        <v>148</v>
      </c>
      <c r="B161" s="4">
        <v>45931.606944444444</v>
      </c>
      <c r="C161" s="40">
        <f>Tableau1[[#This Row],[Date de début]]</f>
        <v>45931.606944444444</v>
      </c>
      <c r="D161" s="5">
        <f t="shared" si="0"/>
        <v>45931.606944444444</v>
      </c>
      <c r="E161" s="5">
        <v>45931.620138888888</v>
      </c>
      <c r="F161" s="6">
        <f t="shared" si="1"/>
        <v>0.317</v>
      </c>
      <c r="G161" s="1" t="str">
        <f t="shared" si="2"/>
        <v>19m</v>
      </c>
      <c r="H161" s="6">
        <v>0</v>
      </c>
      <c r="I161" s="6">
        <v>0</v>
      </c>
      <c r="J161" s="1" t="s">
        <v>2</v>
      </c>
      <c r="K161" s="1" t="s">
        <v>22</v>
      </c>
      <c r="L161" s="6">
        <f>Tableau1[[#This Row],[Tarif horaire]]*Tableau1[[#This Row],[Durée]]</f>
        <v>0</v>
      </c>
      <c r="M161" s="6"/>
      <c r="N161" s="6"/>
      <c r="O161" s="6"/>
      <c r="P161" s="6" t="str">
        <f>IF(OR(Tableau1[[#This Row],[Projet ou client]]="Léane",Tableau1[[#This Row],[Projet ou client]]="Valentine",Tableau1[[#This Row],[Projet ou client]]="Léon",Tableau1[[#This Row],[Projet ou client]]="Camille"),"Cours particuliers","Autre")</f>
        <v>Autre</v>
      </c>
    </row>
    <row r="162" spans="1:16" ht="28.9">
      <c r="A162" s="1" t="s">
        <v>69</v>
      </c>
      <c r="B162" s="4">
        <v>45931.620833333334</v>
      </c>
      <c r="C162" s="40">
        <f>Tableau1[[#This Row],[Date de début]]</f>
        <v>45931.620833333334</v>
      </c>
      <c r="D162" s="5">
        <f t="shared" si="0"/>
        <v>45931.620833333334</v>
      </c>
      <c r="E162" s="5">
        <v>45931.625694444447</v>
      </c>
      <c r="F162" s="6">
        <f t="shared" si="1"/>
        <v>0.11700000000000001</v>
      </c>
      <c r="G162" s="1" t="str">
        <f t="shared" si="2"/>
        <v>7m</v>
      </c>
      <c r="H162" s="6">
        <v>0</v>
      </c>
      <c r="I162" s="6">
        <v>0</v>
      </c>
      <c r="J162" s="1" t="s">
        <v>2</v>
      </c>
      <c r="K162" s="1" t="s">
        <v>22</v>
      </c>
      <c r="L162" s="6">
        <f>Tableau1[[#This Row],[Tarif horaire]]*Tableau1[[#This Row],[Durée]]</f>
        <v>0</v>
      </c>
      <c r="M162" s="6"/>
      <c r="N162" s="6"/>
      <c r="O162" s="6"/>
      <c r="P162" s="6" t="str">
        <f>IF(OR(Tableau1[[#This Row],[Projet ou client]]="Léane",Tableau1[[#This Row],[Projet ou client]]="Valentine",Tableau1[[#This Row],[Projet ou client]]="Léon",Tableau1[[#This Row],[Projet ou client]]="Camille"),"Cours particuliers","Autre")</f>
        <v>Autre</v>
      </c>
    </row>
    <row r="163" spans="1:16" ht="43.15">
      <c r="A163" s="1" t="s">
        <v>54</v>
      </c>
      <c r="B163" s="4">
        <v>45931.625694444447</v>
      </c>
      <c r="C163" s="40">
        <f>Tableau1[[#This Row],[Date de début]]</f>
        <v>45931.625694444447</v>
      </c>
      <c r="D163" s="5">
        <f t="shared" si="0"/>
        <v>45931.625694444447</v>
      </c>
      <c r="E163" s="5">
        <v>45931.642361111109</v>
      </c>
      <c r="F163" s="6">
        <f t="shared" si="1"/>
        <v>0.4</v>
      </c>
      <c r="G163" s="1" t="str">
        <f t="shared" si="2"/>
        <v>24m</v>
      </c>
      <c r="H163" s="6">
        <v>0</v>
      </c>
      <c r="I163" s="6">
        <v>0</v>
      </c>
      <c r="J163" s="1" t="s">
        <v>2</v>
      </c>
      <c r="K163" s="1" t="s">
        <v>22</v>
      </c>
      <c r="L163" s="6">
        <f>Tableau1[[#This Row],[Tarif horaire]]*Tableau1[[#This Row],[Durée]]</f>
        <v>0</v>
      </c>
      <c r="M163" s="6"/>
      <c r="N163" s="6"/>
      <c r="O163" s="6"/>
      <c r="P163" s="6" t="str">
        <f>IF(OR(Tableau1[[#This Row],[Projet ou client]]="Léane",Tableau1[[#This Row],[Projet ou client]]="Valentine",Tableau1[[#This Row],[Projet ou client]]="Léon",Tableau1[[#This Row],[Projet ou client]]="Camille"),"Cours particuliers","Autre")</f>
        <v>Autre</v>
      </c>
    </row>
    <row r="164" spans="1:16">
      <c r="A164" s="1" t="s">
        <v>87</v>
      </c>
      <c r="B164" s="4">
        <v>45931.641666666663</v>
      </c>
      <c r="C164" s="40">
        <f>Tableau1[[#This Row],[Date de début]]</f>
        <v>45931.641666666663</v>
      </c>
      <c r="D164" s="5">
        <f t="shared" si="0"/>
        <v>45931.641666666663</v>
      </c>
      <c r="E164" s="5">
        <v>45931.645138888889</v>
      </c>
      <c r="F164" s="6">
        <f t="shared" si="1"/>
        <v>8.3000000000000004E-2</v>
      </c>
      <c r="G164" s="1" t="str">
        <f t="shared" si="2"/>
        <v>5m</v>
      </c>
      <c r="H164" s="6">
        <v>0</v>
      </c>
      <c r="I164" s="6">
        <v>0</v>
      </c>
      <c r="J164" s="1" t="s">
        <v>2</v>
      </c>
      <c r="K164" s="1" t="s">
        <v>22</v>
      </c>
      <c r="L164" s="6">
        <f>Tableau1[[#This Row],[Tarif horaire]]*Tableau1[[#This Row],[Durée]]</f>
        <v>0</v>
      </c>
      <c r="M164" s="6"/>
      <c r="N164" s="6"/>
      <c r="O164" s="6"/>
      <c r="P164" s="6" t="str">
        <f>IF(OR(Tableau1[[#This Row],[Projet ou client]]="Léane",Tableau1[[#This Row],[Projet ou client]]="Valentine",Tableau1[[#This Row],[Projet ou client]]="Léon",Tableau1[[#This Row],[Projet ou client]]="Camille"),"Cours particuliers","Autre")</f>
        <v>Autre</v>
      </c>
    </row>
    <row r="165" spans="1:16" ht="28.9">
      <c r="A165" s="1" t="s">
        <v>50</v>
      </c>
      <c r="B165" s="4">
        <v>45931.645138888889</v>
      </c>
      <c r="C165" s="40">
        <f>Tableau1[[#This Row],[Date de début]]</f>
        <v>45931.645138888889</v>
      </c>
      <c r="D165" s="5">
        <f t="shared" si="0"/>
        <v>45931.645138888889</v>
      </c>
      <c r="E165" s="5">
        <v>45931.65347222222</v>
      </c>
      <c r="F165" s="6">
        <f t="shared" si="1"/>
        <v>0.2</v>
      </c>
      <c r="G165" s="1" t="str">
        <f t="shared" si="2"/>
        <v>12m</v>
      </c>
      <c r="H165" s="6">
        <v>0</v>
      </c>
      <c r="I165" s="6">
        <v>0</v>
      </c>
      <c r="J165" s="1" t="s">
        <v>2</v>
      </c>
      <c r="K165" s="1" t="s">
        <v>22</v>
      </c>
      <c r="L165" s="6">
        <f>Tableau1[[#This Row],[Tarif horaire]]*Tableau1[[#This Row],[Durée]]</f>
        <v>0</v>
      </c>
      <c r="M165" s="6"/>
      <c r="N165" s="6"/>
      <c r="O165" s="6"/>
      <c r="P165" s="6" t="str">
        <f>IF(OR(Tableau1[[#This Row],[Projet ou client]]="Léane",Tableau1[[#This Row],[Projet ou client]]="Valentine",Tableau1[[#This Row],[Projet ou client]]="Léon",Tableau1[[#This Row],[Projet ou client]]="Camille"),"Cours particuliers","Autre")</f>
        <v>Autre</v>
      </c>
    </row>
    <row r="166" spans="1:16">
      <c r="A166" s="1" t="s">
        <v>127</v>
      </c>
      <c r="B166" s="4">
        <v>45931.676388888889</v>
      </c>
      <c r="C166" s="40">
        <f>Tableau1[[#This Row],[Date de début]]</f>
        <v>45931.676388888889</v>
      </c>
      <c r="D166" s="5">
        <f t="shared" si="0"/>
        <v>45931.676388888889</v>
      </c>
      <c r="E166" s="5">
        <v>45931.73819444445</v>
      </c>
      <c r="F166" s="6">
        <f t="shared" si="1"/>
        <v>1.4830000000000001</v>
      </c>
      <c r="G166" s="1" t="str">
        <f t="shared" si="2"/>
        <v>1h 29min</v>
      </c>
      <c r="H166" s="6">
        <v>40</v>
      </c>
      <c r="I166" s="6">
        <v>0</v>
      </c>
      <c r="J166" s="1" t="s">
        <v>2</v>
      </c>
      <c r="K166" s="1" t="s">
        <v>22</v>
      </c>
      <c r="L166" s="6">
        <f>Tableau1[[#This Row],[Tarif horaire]]*Tableau1[[#This Row],[Durée]]</f>
        <v>59.320000000000007</v>
      </c>
      <c r="M166" s="6"/>
      <c r="N166" s="6"/>
      <c r="O166" s="6"/>
      <c r="P166" s="6" t="str">
        <f>IF(OR(Tableau1[[#This Row],[Projet ou client]]="Léane",Tableau1[[#This Row],[Projet ou client]]="Valentine",Tableau1[[#This Row],[Projet ou client]]="Léon",Tableau1[[#This Row],[Projet ou client]]="Camille"),"Cours particuliers","Autre")</f>
        <v>Cours particuliers</v>
      </c>
    </row>
    <row r="167" spans="1:16" ht="28.9">
      <c r="A167" s="1" t="s">
        <v>50</v>
      </c>
      <c r="B167" s="4">
        <v>45932.257638888885</v>
      </c>
      <c r="C167" s="40">
        <f>Tableau1[[#This Row],[Date de début]]</f>
        <v>45932.257638888885</v>
      </c>
      <c r="D167" s="5">
        <f t="shared" si="0"/>
        <v>45932.257638888885</v>
      </c>
      <c r="E167" s="5">
        <v>45932.302083333328</v>
      </c>
      <c r="F167" s="6">
        <f t="shared" si="1"/>
        <v>1.0669999999999999</v>
      </c>
      <c r="G167" s="1" t="str">
        <f t="shared" si="2"/>
        <v>1h 4min</v>
      </c>
      <c r="H167" s="6">
        <v>0</v>
      </c>
      <c r="I167" s="6">
        <v>0</v>
      </c>
      <c r="J167" s="1" t="s">
        <v>2</v>
      </c>
      <c r="K167" s="1" t="s">
        <v>22</v>
      </c>
      <c r="L167" s="6">
        <f>Tableau1[[#This Row],[Tarif horaire]]*Tableau1[[#This Row],[Durée]]</f>
        <v>0</v>
      </c>
      <c r="M167" s="6"/>
      <c r="N167" s="6"/>
      <c r="O167" s="6"/>
      <c r="P167" s="6" t="str">
        <f>IF(OR(Tableau1[[#This Row],[Projet ou client]]="Léane",Tableau1[[#This Row],[Projet ou client]]="Valentine",Tableau1[[#This Row],[Projet ou client]]="Léon",Tableau1[[#This Row],[Projet ou client]]="Camille"),"Cours particuliers","Autre")</f>
        <v>Autre</v>
      </c>
    </row>
    <row r="168" spans="1:16">
      <c r="A168" s="1" t="s">
        <v>104</v>
      </c>
      <c r="B168" s="4">
        <v>45932.328472222223</v>
      </c>
      <c r="C168" s="40">
        <f>Tableau1[[#This Row],[Date de début]]</f>
        <v>45932.328472222223</v>
      </c>
      <c r="D168" s="5">
        <f t="shared" si="0"/>
        <v>45932.328472222223</v>
      </c>
      <c r="E168" s="5">
        <v>45932.516666666663</v>
      </c>
      <c r="F168" s="6">
        <f t="shared" si="1"/>
        <v>4.5170000000000003</v>
      </c>
      <c r="G168" s="1" t="str">
        <f t="shared" si="2"/>
        <v>4h 31min</v>
      </c>
      <c r="H168" s="6">
        <v>0</v>
      </c>
      <c r="I168" s="6">
        <v>0</v>
      </c>
      <c r="J168" s="1" t="s">
        <v>2</v>
      </c>
      <c r="K168" s="1" t="s">
        <v>22</v>
      </c>
      <c r="L168" s="6">
        <f>Tableau1[[#This Row],[Tarif horaire]]*Tableau1[[#This Row],[Durée]]</f>
        <v>0</v>
      </c>
      <c r="M168" s="6"/>
      <c r="N168" s="6"/>
      <c r="O168" s="6"/>
      <c r="P168" s="6" t="str">
        <f>IF(OR(Tableau1[[#This Row],[Projet ou client]]="Léane",Tableau1[[#This Row],[Projet ou client]]="Valentine",Tableau1[[#This Row],[Projet ou client]]="Léon",Tableau1[[#This Row],[Projet ou client]]="Camille"),"Cours particuliers","Autre")</f>
        <v>Autre</v>
      </c>
    </row>
    <row r="169" spans="1:16" ht="43.15">
      <c r="A169" s="1" t="s">
        <v>54</v>
      </c>
      <c r="B169" s="4">
        <v>45932.564583333333</v>
      </c>
      <c r="C169" s="40">
        <f>Tableau1[[#This Row],[Date de début]]</f>
        <v>45932.564583333333</v>
      </c>
      <c r="D169" s="5">
        <f t="shared" si="0"/>
        <v>45932.564583333333</v>
      </c>
      <c r="E169" s="5">
        <v>45932.576388888891</v>
      </c>
      <c r="F169" s="6">
        <f t="shared" si="1"/>
        <v>0.28299999999999997</v>
      </c>
      <c r="G169" s="1" t="str">
        <f t="shared" si="2"/>
        <v>17m</v>
      </c>
      <c r="H169" s="6">
        <v>0</v>
      </c>
      <c r="I169" s="6">
        <v>0</v>
      </c>
      <c r="J169" s="1" t="s">
        <v>2</v>
      </c>
      <c r="K169" s="1" t="s">
        <v>22</v>
      </c>
      <c r="L169" s="6">
        <f>Tableau1[[#This Row],[Tarif horaire]]*Tableau1[[#This Row],[Durée]]</f>
        <v>0</v>
      </c>
      <c r="M169" s="6"/>
      <c r="N169" s="6"/>
      <c r="O169" s="6"/>
      <c r="P169" s="6" t="str">
        <f>IF(OR(Tableau1[[#This Row],[Projet ou client]]="Léane",Tableau1[[#This Row],[Projet ou client]]="Valentine",Tableau1[[#This Row],[Projet ou client]]="Léon",Tableau1[[#This Row],[Projet ou client]]="Camille"),"Cours particuliers","Autre")</f>
        <v>Autre</v>
      </c>
    </row>
    <row r="170" spans="1:16">
      <c r="A170" s="1" t="s">
        <v>110</v>
      </c>
      <c r="B170" s="4">
        <v>45932.688888888893</v>
      </c>
      <c r="C170" s="40">
        <f>Tableau1[[#This Row],[Date de début]]</f>
        <v>45932.688888888893</v>
      </c>
      <c r="D170" s="5">
        <f t="shared" si="0"/>
        <v>45932.688888888893</v>
      </c>
      <c r="E170" s="5">
        <v>45932.742361111115</v>
      </c>
      <c r="F170" s="6">
        <f t="shared" si="1"/>
        <v>1.2829999999999999</v>
      </c>
      <c r="G170" s="1" t="str">
        <f t="shared" si="2"/>
        <v>1h 17min</v>
      </c>
      <c r="H170" s="6">
        <v>35</v>
      </c>
      <c r="I170" s="6">
        <v>0</v>
      </c>
      <c r="J170" s="1" t="s">
        <v>2</v>
      </c>
      <c r="K170" s="1" t="s">
        <v>22</v>
      </c>
      <c r="L170" s="6">
        <f>Tableau1[[#This Row],[Tarif horaire]]*Tableau1[[#This Row],[Durée]]</f>
        <v>44.904999999999994</v>
      </c>
      <c r="M170" s="6"/>
      <c r="N170" s="6"/>
      <c r="O170" s="6"/>
      <c r="P170" s="6" t="str">
        <f>IF(OR(Tableau1[[#This Row],[Projet ou client]]="Léane",Tableau1[[#This Row],[Projet ou client]]="Valentine",Tableau1[[#This Row],[Projet ou client]]="Léon",Tableau1[[#This Row],[Projet ou client]]="Camille"),"Cours particuliers","Autre")</f>
        <v>Cours particuliers</v>
      </c>
    </row>
    <row r="171" spans="1:16">
      <c r="A171" s="1" t="s">
        <v>148</v>
      </c>
      <c r="B171" s="4">
        <v>45932.75</v>
      </c>
      <c r="C171" s="40">
        <f>Tableau1[[#This Row],[Date de début]]</f>
        <v>45932.75</v>
      </c>
      <c r="D171" s="5">
        <f t="shared" si="0"/>
        <v>45932.75</v>
      </c>
      <c r="E171" s="5">
        <v>45932.878472222219</v>
      </c>
      <c r="F171" s="6">
        <f t="shared" si="1"/>
        <v>3.0830000000000002</v>
      </c>
      <c r="G171" s="1" t="str">
        <f t="shared" si="2"/>
        <v>3h 5min</v>
      </c>
      <c r="H171" s="6">
        <v>0</v>
      </c>
      <c r="I171" s="6">
        <v>0</v>
      </c>
      <c r="J171" s="1" t="s">
        <v>2</v>
      </c>
      <c r="K171" s="1" t="s">
        <v>22</v>
      </c>
      <c r="L171" s="6">
        <f>Tableau1[[#This Row],[Tarif horaire]]*Tableau1[[#This Row],[Durée]]</f>
        <v>0</v>
      </c>
      <c r="M171" s="6"/>
      <c r="N171" s="6"/>
      <c r="O171" s="6"/>
      <c r="P171" s="6" t="str">
        <f>IF(OR(Tableau1[[#This Row],[Projet ou client]]="Léane",Tableau1[[#This Row],[Projet ou client]]="Valentine",Tableau1[[#This Row],[Projet ou client]]="Léon",Tableau1[[#This Row],[Projet ou client]]="Camille"),"Cours particuliers","Autre")</f>
        <v>Autre</v>
      </c>
    </row>
    <row r="172" spans="1:16">
      <c r="A172" s="1" t="s">
        <v>87</v>
      </c>
      <c r="B172" s="4">
        <v>45933.327083333337</v>
      </c>
      <c r="C172" s="40">
        <f>Tableau1[[#This Row],[Date de début]]</f>
        <v>45933.327083333337</v>
      </c>
      <c r="D172" s="5">
        <f t="shared" si="0"/>
        <v>45933.327083333337</v>
      </c>
      <c r="E172" s="5">
        <v>45933.337500000001</v>
      </c>
      <c r="F172" s="6">
        <f t="shared" si="1"/>
        <v>0.25</v>
      </c>
      <c r="G172" s="1" t="str">
        <f t="shared" si="2"/>
        <v>15m</v>
      </c>
      <c r="H172" s="6">
        <v>0</v>
      </c>
      <c r="I172" s="6">
        <v>0</v>
      </c>
      <c r="J172" s="1" t="s">
        <v>2</v>
      </c>
      <c r="K172" s="1" t="s">
        <v>22</v>
      </c>
      <c r="L172" s="6">
        <f>Tableau1[[#This Row],[Tarif horaire]]*Tableau1[[#This Row],[Durée]]</f>
        <v>0</v>
      </c>
      <c r="M172" s="6"/>
      <c r="N172" s="6"/>
      <c r="O172" s="6"/>
      <c r="P172" s="6" t="str">
        <f>IF(OR(Tableau1[[#This Row],[Projet ou client]]="Léane",Tableau1[[#This Row],[Projet ou client]]="Valentine",Tableau1[[#This Row],[Projet ou client]]="Léon",Tableau1[[#This Row],[Projet ou client]]="Camille"),"Cours particuliers","Autre")</f>
        <v>Autre</v>
      </c>
    </row>
    <row r="173" spans="1:16">
      <c r="A173" s="1" t="s">
        <v>25</v>
      </c>
      <c r="B173" s="4">
        <v>45933.336805555555</v>
      </c>
      <c r="C173" s="40">
        <f>Tableau1[[#This Row],[Date de début]]</f>
        <v>45933.336805555555</v>
      </c>
      <c r="D173" s="5">
        <f t="shared" si="0"/>
        <v>45933.336805555555</v>
      </c>
      <c r="E173" s="5">
        <v>45933.345138888893</v>
      </c>
      <c r="F173" s="6">
        <f t="shared" si="1"/>
        <v>0.2</v>
      </c>
      <c r="G173" s="1" t="str">
        <f t="shared" si="2"/>
        <v>12m</v>
      </c>
      <c r="H173" s="6">
        <v>0</v>
      </c>
      <c r="I173" s="6">
        <v>0</v>
      </c>
      <c r="J173" s="1" t="s">
        <v>2</v>
      </c>
      <c r="K173" s="1" t="s">
        <v>22</v>
      </c>
      <c r="L173" s="6">
        <f>Tableau1[[#This Row],[Tarif horaire]]*Tableau1[[#This Row],[Durée]]</f>
        <v>0</v>
      </c>
      <c r="M173" s="6"/>
      <c r="N173" s="6"/>
      <c r="O173" s="6"/>
      <c r="P173" s="6" t="str">
        <f>IF(OR(Tableau1[[#This Row],[Projet ou client]]="Léane",Tableau1[[#This Row],[Projet ou client]]="Valentine",Tableau1[[#This Row],[Projet ou client]]="Léon",Tableau1[[#This Row],[Projet ou client]]="Camille"),"Cours particuliers","Autre")</f>
        <v>Autre</v>
      </c>
    </row>
    <row r="174" spans="1:16" ht="28.9">
      <c r="A174" s="1" t="s">
        <v>31</v>
      </c>
      <c r="B174" s="4">
        <v>45933.345138888893</v>
      </c>
      <c r="C174" s="40">
        <f>Tableau1[[#This Row],[Date de début]]</f>
        <v>45933.345138888893</v>
      </c>
      <c r="D174" s="5">
        <f t="shared" si="0"/>
        <v>45933.345138888893</v>
      </c>
      <c r="E174" s="5">
        <v>45933.352083333331</v>
      </c>
      <c r="F174" s="6">
        <f t="shared" si="1"/>
        <v>0.16700000000000001</v>
      </c>
      <c r="G174" s="1" t="str">
        <f t="shared" si="2"/>
        <v>10m</v>
      </c>
      <c r="H174" s="6">
        <v>0</v>
      </c>
      <c r="I174" s="6">
        <v>0</v>
      </c>
      <c r="J174" s="1" t="s">
        <v>2</v>
      </c>
      <c r="K174" s="1" t="s">
        <v>22</v>
      </c>
      <c r="L174" s="6">
        <f>Tableau1[[#This Row],[Tarif horaire]]*Tableau1[[#This Row],[Durée]]</f>
        <v>0</v>
      </c>
      <c r="M174" s="6"/>
      <c r="N174" s="6"/>
      <c r="O174" s="6"/>
      <c r="P174" s="6" t="str">
        <f>IF(OR(Tableau1[[#This Row],[Projet ou client]]="Léane",Tableau1[[#This Row],[Projet ou client]]="Valentine",Tableau1[[#This Row],[Projet ou client]]="Léon",Tableau1[[#This Row],[Projet ou client]]="Camille"),"Cours particuliers","Autre")</f>
        <v>Autre</v>
      </c>
    </row>
    <row r="175" spans="1:16">
      <c r="A175" s="1" t="s">
        <v>25</v>
      </c>
      <c r="B175" s="4">
        <v>45933.352777777778</v>
      </c>
      <c r="C175" s="40">
        <f>Tableau1[[#This Row],[Date de début]]</f>
        <v>45933.352777777778</v>
      </c>
      <c r="D175" s="5">
        <f t="shared" si="0"/>
        <v>45933.352777777778</v>
      </c>
      <c r="E175" s="5">
        <v>45933.361111111109</v>
      </c>
      <c r="F175" s="6">
        <f t="shared" si="1"/>
        <v>0.2</v>
      </c>
      <c r="G175" s="1" t="str">
        <f t="shared" si="2"/>
        <v>12m</v>
      </c>
      <c r="H175" s="6">
        <v>0</v>
      </c>
      <c r="I175" s="6">
        <v>0</v>
      </c>
      <c r="J175" s="1" t="s">
        <v>2</v>
      </c>
      <c r="K175" s="1" t="s">
        <v>22</v>
      </c>
      <c r="L175" s="6">
        <f>Tableau1[[#This Row],[Tarif horaire]]*Tableau1[[#This Row],[Durée]]</f>
        <v>0</v>
      </c>
      <c r="M175" s="6"/>
      <c r="N175" s="6"/>
      <c r="O175" s="6"/>
      <c r="P175" s="6" t="str">
        <f>IF(OR(Tableau1[[#This Row],[Projet ou client]]="Léane",Tableau1[[#This Row],[Projet ou client]]="Valentine",Tableau1[[#This Row],[Projet ou client]]="Léon",Tableau1[[#This Row],[Projet ou client]]="Camille"),"Cours particuliers","Autre")</f>
        <v>Autre</v>
      </c>
    </row>
    <row r="176" spans="1:16" ht="28.9">
      <c r="A176" s="1" t="s">
        <v>31</v>
      </c>
      <c r="B176" s="4">
        <v>45933.361805555556</v>
      </c>
      <c r="C176" s="40">
        <f>Tableau1[[#This Row],[Date de début]]</f>
        <v>45933.361805555556</v>
      </c>
      <c r="D176" s="5">
        <f t="shared" si="0"/>
        <v>45933.361805555556</v>
      </c>
      <c r="E176" s="5">
        <v>45933.415972222225</v>
      </c>
      <c r="F176" s="6">
        <f t="shared" si="1"/>
        <v>1.3</v>
      </c>
      <c r="G176" s="1" t="str">
        <f t="shared" si="2"/>
        <v>1h 18min</v>
      </c>
      <c r="H176" s="6">
        <v>0</v>
      </c>
      <c r="I176" s="6">
        <v>0</v>
      </c>
      <c r="J176" s="1" t="s">
        <v>2</v>
      </c>
      <c r="K176" s="1" t="s">
        <v>22</v>
      </c>
      <c r="L176" s="6">
        <f>Tableau1[[#This Row],[Tarif horaire]]*Tableau1[[#This Row],[Durée]]</f>
        <v>0</v>
      </c>
      <c r="M176" s="6"/>
      <c r="N176" s="6"/>
      <c r="O176" s="6"/>
      <c r="P176" s="6" t="str">
        <f>IF(OR(Tableau1[[#This Row],[Projet ou client]]="Léane",Tableau1[[#This Row],[Projet ou client]]="Valentine",Tableau1[[#This Row],[Projet ou client]]="Léon",Tableau1[[#This Row],[Projet ou client]]="Camille"),"Cours particuliers","Autre")</f>
        <v>Autre</v>
      </c>
    </row>
    <row r="177" spans="1:16">
      <c r="A177" s="1" t="s">
        <v>104</v>
      </c>
      <c r="B177" s="4">
        <v>45933.429861111115</v>
      </c>
      <c r="C177" s="40">
        <f>Tableau1[[#This Row],[Date de début]]</f>
        <v>45933.429861111115</v>
      </c>
      <c r="D177" s="5">
        <f t="shared" si="0"/>
        <v>45933.429861111115</v>
      </c>
      <c r="E177" s="5">
        <v>45933.513888888891</v>
      </c>
      <c r="F177" s="6">
        <f t="shared" si="1"/>
        <v>2.0169999999999999</v>
      </c>
      <c r="G177" s="1" t="str">
        <f t="shared" si="2"/>
        <v>2h 1min</v>
      </c>
      <c r="H177" s="6">
        <v>0</v>
      </c>
      <c r="I177" s="6">
        <v>0</v>
      </c>
      <c r="J177" s="1" t="s">
        <v>2</v>
      </c>
      <c r="K177" s="1" t="s">
        <v>22</v>
      </c>
      <c r="L177" s="6">
        <f>Tableau1[[#This Row],[Tarif horaire]]*Tableau1[[#This Row],[Durée]]</f>
        <v>0</v>
      </c>
      <c r="M177" s="6"/>
      <c r="N177" s="6"/>
      <c r="O177" s="6"/>
      <c r="P177" s="6" t="str">
        <f>IF(OR(Tableau1[[#This Row],[Projet ou client]]="Léane",Tableau1[[#This Row],[Projet ou client]]="Valentine",Tableau1[[#This Row],[Projet ou client]]="Léon",Tableau1[[#This Row],[Projet ou client]]="Camille"),"Cours particuliers","Autre")</f>
        <v>Autre</v>
      </c>
    </row>
    <row r="178" spans="1:16">
      <c r="A178" s="1" t="s">
        <v>25</v>
      </c>
      <c r="B178" s="4">
        <v>45933.515972222223</v>
      </c>
      <c r="C178" s="40">
        <f>Tableau1[[#This Row],[Date de début]]</f>
        <v>45933.515972222223</v>
      </c>
      <c r="D178" s="5">
        <f t="shared" si="0"/>
        <v>45933.515972222223</v>
      </c>
      <c r="E178" s="5">
        <v>45933.52847222222</v>
      </c>
      <c r="F178" s="6">
        <f t="shared" si="1"/>
        <v>0.3</v>
      </c>
      <c r="G178" s="1" t="str">
        <f t="shared" si="2"/>
        <v>18m</v>
      </c>
      <c r="H178" s="6">
        <v>0</v>
      </c>
      <c r="I178" s="6">
        <v>0</v>
      </c>
      <c r="J178" s="1" t="s">
        <v>2</v>
      </c>
      <c r="K178" s="1" t="s">
        <v>22</v>
      </c>
      <c r="L178" s="6">
        <f>Tableau1[[#This Row],[Tarif horaire]]*Tableau1[[#This Row],[Durée]]</f>
        <v>0</v>
      </c>
      <c r="M178" s="6"/>
      <c r="N178" s="6"/>
      <c r="O178" s="6"/>
      <c r="P178" s="6" t="str">
        <f>IF(OR(Tableau1[[#This Row],[Projet ou client]]="Léane",Tableau1[[#This Row],[Projet ou client]]="Valentine",Tableau1[[#This Row],[Projet ou client]]="Léon",Tableau1[[#This Row],[Projet ou client]]="Camille"),"Cours particuliers","Autre")</f>
        <v>Autre</v>
      </c>
    </row>
    <row r="179" spans="1:16">
      <c r="A179" s="1" t="s">
        <v>28</v>
      </c>
      <c r="B179" s="4">
        <v>45934.735416666663</v>
      </c>
      <c r="C179" s="40">
        <f>Tableau1[[#This Row],[Date de début]]</f>
        <v>45934.735416666663</v>
      </c>
      <c r="D179" s="5">
        <f t="shared" si="0"/>
        <v>45934.735416666663</v>
      </c>
      <c r="E179" s="5">
        <v>45934.777083333334</v>
      </c>
      <c r="F179" s="6">
        <f t="shared" si="1"/>
        <v>1</v>
      </c>
      <c r="G179" s="1" t="str">
        <f t="shared" si="2"/>
        <v>1h 0min</v>
      </c>
      <c r="H179" s="6">
        <v>0</v>
      </c>
      <c r="I179" s="6">
        <v>0</v>
      </c>
      <c r="J179" s="1" t="s">
        <v>2</v>
      </c>
      <c r="K179" s="1" t="s">
        <v>22</v>
      </c>
      <c r="L179" s="6">
        <f>Tableau1[[#This Row],[Tarif horaire]]*Tableau1[[#This Row],[Durée]]</f>
        <v>0</v>
      </c>
      <c r="M179" s="6"/>
      <c r="N179" s="6"/>
      <c r="O179" s="6"/>
      <c r="P179" s="6" t="str">
        <f>IF(OR(Tableau1[[#This Row],[Projet ou client]]="Léane",Tableau1[[#This Row],[Projet ou client]]="Valentine",Tableau1[[#This Row],[Projet ou client]]="Léon",Tableau1[[#This Row],[Projet ou client]]="Camille"),"Cours particuliers","Autre")</f>
        <v>Autre</v>
      </c>
    </row>
    <row r="180" spans="1:16">
      <c r="A180" s="1" t="s">
        <v>28</v>
      </c>
      <c r="B180" s="4">
        <v>45934.77847222222</v>
      </c>
      <c r="C180" s="40">
        <f>Tableau1[[#This Row],[Date de début]]</f>
        <v>45934.77847222222</v>
      </c>
      <c r="D180" s="5">
        <f t="shared" si="0"/>
        <v>45934.77847222222</v>
      </c>
      <c r="E180" s="5">
        <v>45934.788888888885</v>
      </c>
      <c r="F180" s="6">
        <f t="shared" si="1"/>
        <v>0.25</v>
      </c>
      <c r="G180" s="1" t="str">
        <f t="shared" si="2"/>
        <v>15m</v>
      </c>
      <c r="H180" s="6">
        <v>0</v>
      </c>
      <c r="I180" s="6">
        <v>0</v>
      </c>
      <c r="J180" s="1" t="s">
        <v>2</v>
      </c>
      <c r="K180" s="1" t="s">
        <v>22</v>
      </c>
      <c r="L180" s="6">
        <f>Tableau1[[#This Row],[Tarif horaire]]*Tableau1[[#This Row],[Durée]]</f>
        <v>0</v>
      </c>
      <c r="M180" s="6"/>
      <c r="N180" s="6"/>
      <c r="O180" s="6"/>
      <c r="P180" s="6" t="str">
        <f>IF(OR(Tableau1[[#This Row],[Projet ou client]]="Léane",Tableau1[[#This Row],[Projet ou client]]="Valentine",Tableau1[[#This Row],[Projet ou client]]="Léon",Tableau1[[#This Row],[Projet ou client]]="Camille"),"Cours particuliers","Autre")</f>
        <v>Autre</v>
      </c>
    </row>
    <row r="181" spans="1:16">
      <c r="A181" s="1" t="s">
        <v>123</v>
      </c>
      <c r="B181" s="4">
        <v>45935.295138888891</v>
      </c>
      <c r="C181" s="40">
        <f>Tableau1[[#This Row],[Date de début]]</f>
        <v>45935.295138888891</v>
      </c>
      <c r="D181" s="5">
        <f t="shared" si="0"/>
        <v>45935.295138888891</v>
      </c>
      <c r="E181" s="5">
        <v>45935.368750000001</v>
      </c>
      <c r="F181" s="6">
        <f t="shared" si="1"/>
        <v>1.7669999999999999</v>
      </c>
      <c r="G181" s="1" t="str">
        <f t="shared" si="2"/>
        <v>1h 46min</v>
      </c>
      <c r="H181" s="6">
        <v>0</v>
      </c>
      <c r="I181" s="6">
        <v>0</v>
      </c>
      <c r="J181" s="1" t="s">
        <v>2</v>
      </c>
      <c r="K181" s="1" t="s">
        <v>22</v>
      </c>
      <c r="L181" s="6">
        <f>Tableau1[[#This Row],[Tarif horaire]]*Tableau1[[#This Row],[Durée]]</f>
        <v>0</v>
      </c>
      <c r="M181" s="6"/>
      <c r="N181" s="6"/>
      <c r="O181" s="6"/>
      <c r="P181" s="6" t="str">
        <f>IF(OR(Tableau1[[#This Row],[Projet ou client]]="Léane",Tableau1[[#This Row],[Projet ou client]]="Valentine",Tableau1[[#This Row],[Projet ou client]]="Léon",Tableau1[[#This Row],[Projet ou client]]="Camille"),"Cours particuliers","Autre")</f>
        <v>Autre</v>
      </c>
    </row>
    <row r="182" spans="1:16">
      <c r="A182" s="1" t="s">
        <v>25</v>
      </c>
      <c r="B182" s="4">
        <v>45935.368750000001</v>
      </c>
      <c r="C182" s="40">
        <f>Tableau1[[#This Row],[Date de début]]</f>
        <v>45935.368750000001</v>
      </c>
      <c r="D182" s="5">
        <f t="shared" si="0"/>
        <v>45935.368750000001</v>
      </c>
      <c r="E182" s="5">
        <v>45935.481249999997</v>
      </c>
      <c r="F182" s="6">
        <f t="shared" si="1"/>
        <v>2.7</v>
      </c>
      <c r="G182" s="1" t="str">
        <f t="shared" si="2"/>
        <v>2h 42min</v>
      </c>
      <c r="H182" s="6">
        <v>0</v>
      </c>
      <c r="I182" s="6">
        <v>0</v>
      </c>
      <c r="J182" s="1" t="s">
        <v>2</v>
      </c>
      <c r="K182" s="1" t="s">
        <v>22</v>
      </c>
      <c r="L182" s="6">
        <f>Tableau1[[#This Row],[Tarif horaire]]*Tableau1[[#This Row],[Durée]]</f>
        <v>0</v>
      </c>
      <c r="M182" s="6"/>
      <c r="N182" s="6"/>
      <c r="O182" s="6"/>
      <c r="P182" s="6" t="str">
        <f>IF(OR(Tableau1[[#This Row],[Projet ou client]]="Léane",Tableau1[[#This Row],[Projet ou client]]="Valentine",Tableau1[[#This Row],[Projet ou client]]="Léon",Tableau1[[#This Row],[Projet ou client]]="Camille"),"Cours particuliers","Autre")</f>
        <v>Autre</v>
      </c>
    </row>
    <row r="183" spans="1:16">
      <c r="A183" s="1" t="s">
        <v>78</v>
      </c>
      <c r="B183" s="4">
        <v>45936.344444444447</v>
      </c>
      <c r="C183" s="40">
        <f>Tableau1[[#This Row],[Date de début]]</f>
        <v>45936.344444444447</v>
      </c>
      <c r="D183" s="5">
        <f t="shared" si="0"/>
        <v>45936.344444444447</v>
      </c>
      <c r="E183" s="5">
        <v>45936.347916666666</v>
      </c>
      <c r="F183" s="6">
        <f t="shared" si="1"/>
        <v>8.3000000000000004E-2</v>
      </c>
      <c r="G183" s="1" t="str">
        <f t="shared" si="2"/>
        <v>5m</v>
      </c>
      <c r="H183" s="6">
        <v>0</v>
      </c>
      <c r="I183" s="6">
        <v>0</v>
      </c>
      <c r="J183" s="1" t="s">
        <v>2</v>
      </c>
      <c r="K183" s="1" t="s">
        <v>22</v>
      </c>
      <c r="L183" s="6">
        <f>Tableau1[[#This Row],[Tarif horaire]]*Tableau1[[#This Row],[Durée]]</f>
        <v>0</v>
      </c>
      <c r="M183" s="6"/>
      <c r="N183" s="6"/>
      <c r="O183" s="6"/>
      <c r="P183" s="6" t="str">
        <f>IF(OR(Tableau1[[#This Row],[Projet ou client]]="Léane",Tableau1[[#This Row],[Projet ou client]]="Valentine",Tableau1[[#This Row],[Projet ou client]]="Léon",Tableau1[[#This Row],[Projet ou client]]="Camille"),"Cours particuliers","Autre")</f>
        <v>Autre</v>
      </c>
    </row>
    <row r="184" spans="1:16">
      <c r="A184" s="1" t="s">
        <v>28</v>
      </c>
      <c r="B184" s="4">
        <v>45936.347916666666</v>
      </c>
      <c r="C184" s="40">
        <f>Tableau1[[#This Row],[Date de début]]</f>
        <v>45936.347916666666</v>
      </c>
      <c r="D184" s="5">
        <f t="shared" si="0"/>
        <v>45936.347916666666</v>
      </c>
      <c r="E184" s="5">
        <v>45936.379166666666</v>
      </c>
      <c r="F184" s="6">
        <f t="shared" si="1"/>
        <v>0.75</v>
      </c>
      <c r="G184" s="1" t="str">
        <f t="shared" si="2"/>
        <v>45m</v>
      </c>
      <c r="H184" s="6">
        <v>0</v>
      </c>
      <c r="I184" s="6">
        <v>0</v>
      </c>
      <c r="J184" s="1" t="s">
        <v>2</v>
      </c>
      <c r="K184" s="1" t="s">
        <v>22</v>
      </c>
      <c r="L184" s="6">
        <f>Tableau1[[#This Row],[Tarif horaire]]*Tableau1[[#This Row],[Durée]]</f>
        <v>0</v>
      </c>
      <c r="M184" s="6"/>
      <c r="N184" s="6"/>
      <c r="O184" s="6"/>
      <c r="P184" s="6" t="str">
        <f>IF(OR(Tableau1[[#This Row],[Projet ou client]]="Léane",Tableau1[[#This Row],[Projet ou client]]="Valentine",Tableau1[[#This Row],[Projet ou client]]="Léon",Tableau1[[#This Row],[Projet ou client]]="Camille"),"Cours particuliers","Autre")</f>
        <v>Autre</v>
      </c>
    </row>
    <row r="185" spans="1:16">
      <c r="A185" s="1" t="s">
        <v>25</v>
      </c>
      <c r="B185" s="4">
        <v>45936.379166666666</v>
      </c>
      <c r="C185" s="40">
        <f>Tableau1[[#This Row],[Date de début]]</f>
        <v>45936.379166666666</v>
      </c>
      <c r="D185" s="5">
        <f t="shared" si="0"/>
        <v>45936.379166666666</v>
      </c>
      <c r="E185" s="5">
        <v>45936.39444444445</v>
      </c>
      <c r="F185" s="6">
        <f t="shared" si="1"/>
        <v>0.36699999999999999</v>
      </c>
      <c r="G185" s="1" t="str">
        <f t="shared" si="2"/>
        <v>22m</v>
      </c>
      <c r="H185" s="6">
        <v>0</v>
      </c>
      <c r="I185" s="6">
        <v>0</v>
      </c>
      <c r="J185" s="1" t="s">
        <v>2</v>
      </c>
      <c r="K185" s="1" t="s">
        <v>22</v>
      </c>
      <c r="L185" s="6">
        <f>Tableau1[[#This Row],[Tarif horaire]]*Tableau1[[#This Row],[Durée]]</f>
        <v>0</v>
      </c>
      <c r="M185" s="6"/>
      <c r="N185" s="6"/>
      <c r="O185" s="6"/>
      <c r="P185" s="6" t="str">
        <f>IF(OR(Tableau1[[#This Row],[Projet ou client]]="Léane",Tableau1[[#This Row],[Projet ou client]]="Valentine",Tableau1[[#This Row],[Projet ou client]]="Léon",Tableau1[[#This Row],[Projet ou client]]="Camille"),"Cours particuliers","Autre")</f>
        <v>Autre</v>
      </c>
    </row>
    <row r="186" spans="1:16">
      <c r="A186" s="1" t="s">
        <v>123</v>
      </c>
      <c r="B186" s="4">
        <v>45936.459027777775</v>
      </c>
      <c r="C186" s="40">
        <f>Tableau1[[#This Row],[Date de début]]</f>
        <v>45936.459027777775</v>
      </c>
      <c r="D186" s="5">
        <f t="shared" si="0"/>
        <v>45936.459027777775</v>
      </c>
      <c r="E186" s="5">
        <v>45936.463888888888</v>
      </c>
      <c r="F186" s="6">
        <f t="shared" si="1"/>
        <v>0.11700000000000001</v>
      </c>
      <c r="G186" s="1" t="str">
        <f t="shared" si="2"/>
        <v>7m</v>
      </c>
      <c r="H186" s="6">
        <v>0</v>
      </c>
      <c r="I186" s="6">
        <v>0</v>
      </c>
      <c r="J186" s="1" t="s">
        <v>2</v>
      </c>
      <c r="K186" s="1" t="s">
        <v>22</v>
      </c>
      <c r="L186" s="6">
        <f>Tableau1[[#This Row],[Tarif horaire]]*Tableau1[[#This Row],[Durée]]</f>
        <v>0</v>
      </c>
      <c r="M186" s="6"/>
      <c r="N186" s="6"/>
      <c r="O186" s="6"/>
      <c r="P186" s="6" t="str">
        <f>IF(OR(Tableau1[[#This Row],[Projet ou client]]="Léane",Tableau1[[#This Row],[Projet ou client]]="Valentine",Tableau1[[#This Row],[Projet ou client]]="Léon",Tableau1[[#This Row],[Projet ou client]]="Camille"),"Cours particuliers","Autre")</f>
        <v>Autre</v>
      </c>
    </row>
    <row r="187" spans="1:16">
      <c r="A187" s="1" t="s">
        <v>87</v>
      </c>
      <c r="B187" s="4">
        <v>45936.463194444441</v>
      </c>
      <c r="C187" s="40">
        <f>Tableau1[[#This Row],[Date de début]]</f>
        <v>45936.463194444441</v>
      </c>
      <c r="D187" s="5">
        <f t="shared" si="0"/>
        <v>45936.463194444441</v>
      </c>
      <c r="E187" s="5">
        <v>45936.473611111112</v>
      </c>
      <c r="F187" s="6">
        <f t="shared" si="1"/>
        <v>0.25</v>
      </c>
      <c r="G187" s="1" t="str">
        <f t="shared" si="2"/>
        <v>15m</v>
      </c>
      <c r="H187" s="6">
        <v>0</v>
      </c>
      <c r="I187" s="6">
        <v>0</v>
      </c>
      <c r="J187" s="1" t="s">
        <v>2</v>
      </c>
      <c r="K187" s="1" t="s">
        <v>22</v>
      </c>
      <c r="L187" s="6">
        <f>Tableau1[[#This Row],[Tarif horaire]]*Tableau1[[#This Row],[Durée]]</f>
        <v>0</v>
      </c>
      <c r="M187" s="6"/>
      <c r="N187" s="6"/>
      <c r="O187" s="6"/>
      <c r="P187" s="6" t="str">
        <f>IF(OR(Tableau1[[#This Row],[Projet ou client]]="Léane",Tableau1[[#This Row],[Projet ou client]]="Valentine",Tableau1[[#This Row],[Projet ou client]]="Léon",Tableau1[[#This Row],[Projet ou client]]="Camille"),"Cours particuliers","Autre")</f>
        <v>Autre</v>
      </c>
    </row>
    <row r="188" spans="1:16" ht="43.15">
      <c r="A188" s="1" t="s">
        <v>54</v>
      </c>
      <c r="B188" s="4">
        <v>45936.473611111112</v>
      </c>
      <c r="C188" s="40">
        <f>Tableau1[[#This Row],[Date de début]]</f>
        <v>45936.473611111112</v>
      </c>
      <c r="D188" s="5">
        <f t="shared" si="0"/>
        <v>45936.473611111112</v>
      </c>
      <c r="E188" s="5">
        <v>45936.477777777778</v>
      </c>
      <c r="F188" s="6">
        <f t="shared" si="1"/>
        <v>0.1</v>
      </c>
      <c r="G188" s="1" t="str">
        <f t="shared" si="2"/>
        <v>6m</v>
      </c>
      <c r="H188" s="6">
        <v>0</v>
      </c>
      <c r="I188" s="6">
        <v>0</v>
      </c>
      <c r="J188" s="1" t="s">
        <v>2</v>
      </c>
      <c r="K188" s="1" t="s">
        <v>22</v>
      </c>
      <c r="L188" s="6">
        <f>Tableau1[[#This Row],[Tarif horaire]]*Tableau1[[#This Row],[Durée]]</f>
        <v>0</v>
      </c>
      <c r="M188" s="6"/>
      <c r="N188" s="6"/>
      <c r="O188" s="6"/>
      <c r="P188" s="6" t="str">
        <f>IF(OR(Tableau1[[#This Row],[Projet ou client]]="Léane",Tableau1[[#This Row],[Projet ou client]]="Valentine",Tableau1[[#This Row],[Projet ou client]]="Léon",Tableau1[[#This Row],[Projet ou client]]="Camille"),"Cours particuliers","Autre")</f>
        <v>Autre</v>
      </c>
    </row>
    <row r="189" spans="1:16">
      <c r="A189" s="1" t="s">
        <v>25</v>
      </c>
      <c r="B189" s="4">
        <v>45936.477083333331</v>
      </c>
      <c r="C189" s="40">
        <f>Tableau1[[#This Row],[Date de début]]</f>
        <v>45936.477083333331</v>
      </c>
      <c r="D189" s="5">
        <f t="shared" ref="D189:D220" si="3">C189</f>
        <v>45936.477083333331</v>
      </c>
      <c r="E189" s="5">
        <v>45936.525694444441</v>
      </c>
      <c r="F189" s="6">
        <f t="shared" ref="F189:F220" si="4">MAX(ROUND((E189-C189)*24,3)-N189,0)</f>
        <v>1.167</v>
      </c>
      <c r="G189" s="1" t="str">
        <f t="shared" ref="G189:G220" si="5">IF(FLOOR(TRUNC(F189),1)&gt;0,FLOOR(TRUNC(F189),1)&amp;"h "&amp;FLOOR(ROUND((F189-FLOOR(TRUNC(F189),1))*60,0),1)&amp;"min",FLOOR(ROUND((F189-FLOOR(TRUNC(F189),1))*60,0),1)&amp;"m")</f>
        <v>1h 10min</v>
      </c>
      <c r="H189" s="6">
        <v>0</v>
      </c>
      <c r="I189" s="6">
        <v>0</v>
      </c>
      <c r="J189" s="1" t="s">
        <v>149</v>
      </c>
      <c r="K189" s="1" t="s">
        <v>22</v>
      </c>
      <c r="L189" s="6">
        <f>Tableau1[[#This Row],[Tarif horaire]]*Tableau1[[#This Row],[Durée]]</f>
        <v>0</v>
      </c>
      <c r="M189" s="6"/>
      <c r="N189" s="6"/>
      <c r="O189" s="6"/>
      <c r="P189" s="6" t="str">
        <f>IF(OR(Tableau1[[#This Row],[Projet ou client]]="Léane",Tableau1[[#This Row],[Projet ou client]]="Valentine",Tableau1[[#This Row],[Projet ou client]]="Léon",Tableau1[[#This Row],[Projet ou client]]="Camille"),"Cours particuliers","Autre")</f>
        <v>Autre</v>
      </c>
    </row>
    <row r="190" spans="1:16">
      <c r="A190" s="1" t="s">
        <v>28</v>
      </c>
      <c r="B190" s="4">
        <v>45936.581250000003</v>
      </c>
      <c r="C190" s="40">
        <f>Tableau1[[#This Row],[Date de début]]</f>
        <v>45936.581250000003</v>
      </c>
      <c r="D190" s="5">
        <f t="shared" si="3"/>
        <v>45936.581250000003</v>
      </c>
      <c r="E190" s="5">
        <v>45936.595833333333</v>
      </c>
      <c r="F190" s="6">
        <f t="shared" si="4"/>
        <v>0.35</v>
      </c>
      <c r="G190" s="1" t="str">
        <f t="shared" si="5"/>
        <v>21m</v>
      </c>
      <c r="H190" s="6">
        <v>0</v>
      </c>
      <c r="I190" s="6">
        <v>0</v>
      </c>
      <c r="J190" s="1" t="s">
        <v>2</v>
      </c>
      <c r="K190" s="1" t="s">
        <v>22</v>
      </c>
      <c r="L190" s="6">
        <f>Tableau1[[#This Row],[Tarif horaire]]*Tableau1[[#This Row],[Durée]]</f>
        <v>0</v>
      </c>
      <c r="M190" s="6"/>
      <c r="N190" s="6"/>
      <c r="O190" s="6"/>
      <c r="P190" s="6" t="str">
        <f>IF(OR(Tableau1[[#This Row],[Projet ou client]]="Léane",Tableau1[[#This Row],[Projet ou client]]="Valentine",Tableau1[[#This Row],[Projet ou client]]="Léon",Tableau1[[#This Row],[Projet ou client]]="Camille"),"Cours particuliers","Autre")</f>
        <v>Autre</v>
      </c>
    </row>
    <row r="191" spans="1:16">
      <c r="A191" s="1" t="s">
        <v>150</v>
      </c>
      <c r="B191" s="4">
        <v>45936.59652777778</v>
      </c>
      <c r="C191" s="40">
        <f>Tableau1[[#This Row],[Date de début]]</f>
        <v>45936.59652777778</v>
      </c>
      <c r="D191" s="5">
        <f t="shared" si="3"/>
        <v>45936.59652777778</v>
      </c>
      <c r="E191" s="5">
        <v>45936.60555555555</v>
      </c>
      <c r="F191" s="6">
        <f t="shared" si="4"/>
        <v>0.217</v>
      </c>
      <c r="G191" s="1" t="str">
        <f t="shared" si="5"/>
        <v>13m</v>
      </c>
      <c r="H191" s="6">
        <v>0</v>
      </c>
      <c r="I191" s="6">
        <v>0</v>
      </c>
      <c r="J191" s="1" t="s">
        <v>2</v>
      </c>
      <c r="K191" s="1" t="s">
        <v>22</v>
      </c>
      <c r="L191" s="6">
        <f>Tableau1[[#This Row],[Tarif horaire]]*Tableau1[[#This Row],[Durée]]</f>
        <v>0</v>
      </c>
      <c r="M191" s="6"/>
      <c r="N191" s="6"/>
      <c r="O191" s="6"/>
      <c r="P191" s="6" t="str">
        <f>IF(OR(Tableau1[[#This Row],[Projet ou client]]="Léane",Tableau1[[#This Row],[Projet ou client]]="Valentine",Tableau1[[#This Row],[Projet ou client]]="Léon",Tableau1[[#This Row],[Projet ou client]]="Camille"),"Cours particuliers","Autre")</f>
        <v>Autre</v>
      </c>
    </row>
    <row r="192" spans="1:16">
      <c r="A192" s="1" t="s">
        <v>25</v>
      </c>
      <c r="B192" s="4">
        <v>45936.604861111111</v>
      </c>
      <c r="C192" s="40">
        <f>Tableau1[[#This Row],[Date de début]]</f>
        <v>45936.604861111111</v>
      </c>
      <c r="D192" s="5">
        <f t="shared" si="3"/>
        <v>45936.604861111111</v>
      </c>
      <c r="E192" s="5">
        <v>45936.618750000001</v>
      </c>
      <c r="F192" s="6">
        <f t="shared" si="4"/>
        <v>0.33300000000000002</v>
      </c>
      <c r="G192" s="1" t="str">
        <f t="shared" si="5"/>
        <v>20m</v>
      </c>
      <c r="H192" s="6">
        <v>0</v>
      </c>
      <c r="I192" s="6">
        <v>0</v>
      </c>
      <c r="J192" s="1" t="s">
        <v>2</v>
      </c>
      <c r="K192" s="1" t="s">
        <v>22</v>
      </c>
      <c r="L192" s="6">
        <f>Tableau1[[#This Row],[Tarif horaire]]*Tableau1[[#This Row],[Durée]]</f>
        <v>0</v>
      </c>
      <c r="M192" s="6"/>
      <c r="N192" s="6"/>
      <c r="O192" s="6"/>
      <c r="P192" s="6" t="str">
        <f>IF(OR(Tableau1[[#This Row],[Projet ou client]]="Léane",Tableau1[[#This Row],[Projet ou client]]="Valentine",Tableau1[[#This Row],[Projet ou client]]="Léon",Tableau1[[#This Row],[Projet ou client]]="Camille"),"Cours particuliers","Autre")</f>
        <v>Autre</v>
      </c>
    </row>
    <row r="193" spans="1:16" ht="28.9">
      <c r="A193" s="1" t="s">
        <v>31</v>
      </c>
      <c r="B193" s="4">
        <v>45936.619444444441</v>
      </c>
      <c r="C193" s="40">
        <f>Tableau1[[#This Row],[Date de début]]</f>
        <v>45936.619444444441</v>
      </c>
      <c r="D193" s="5">
        <f t="shared" si="3"/>
        <v>45936.619444444441</v>
      </c>
      <c r="E193" s="5">
        <v>45936.733333333337</v>
      </c>
      <c r="F193" s="6">
        <f t="shared" si="4"/>
        <v>2.7330000000000001</v>
      </c>
      <c r="G193" s="1" t="str">
        <f t="shared" si="5"/>
        <v>2h 44min</v>
      </c>
      <c r="H193" s="6">
        <v>0</v>
      </c>
      <c r="I193" s="6">
        <v>0</v>
      </c>
      <c r="J193" s="1" t="s">
        <v>2</v>
      </c>
      <c r="K193" s="1" t="s">
        <v>22</v>
      </c>
      <c r="L193" s="6">
        <f>Tableau1[[#This Row],[Tarif horaire]]*Tableau1[[#This Row],[Durée]]</f>
        <v>0</v>
      </c>
      <c r="M193" s="6"/>
      <c r="N193" s="6"/>
      <c r="O193" s="6"/>
      <c r="P193" s="6" t="str">
        <f>IF(OR(Tableau1[[#This Row],[Projet ou client]]="Léane",Tableau1[[#This Row],[Projet ou client]]="Valentine",Tableau1[[#This Row],[Projet ou client]]="Léon",Tableau1[[#This Row],[Projet ou client]]="Camille"),"Cours particuliers","Autre")</f>
        <v>Autre</v>
      </c>
    </row>
    <row r="194" spans="1:16">
      <c r="A194" s="1" t="s">
        <v>25</v>
      </c>
      <c r="B194" s="4">
        <v>45936.734722222223</v>
      </c>
      <c r="C194" s="40">
        <f>Tableau1[[#This Row],[Date de début]]</f>
        <v>45936.734722222223</v>
      </c>
      <c r="D194" s="5">
        <f t="shared" si="3"/>
        <v>45936.734722222223</v>
      </c>
      <c r="E194" s="5">
        <v>45936.747916666667</v>
      </c>
      <c r="F194" s="6">
        <f t="shared" si="4"/>
        <v>0.317</v>
      </c>
      <c r="G194" s="1" t="str">
        <f t="shared" si="5"/>
        <v>19m</v>
      </c>
      <c r="H194" s="6">
        <v>0</v>
      </c>
      <c r="I194" s="6">
        <v>0</v>
      </c>
      <c r="J194" s="1" t="s">
        <v>2</v>
      </c>
      <c r="K194" s="1" t="s">
        <v>22</v>
      </c>
      <c r="L194" s="6">
        <f>Tableau1[[#This Row],[Tarif horaire]]*Tableau1[[#This Row],[Durée]]</f>
        <v>0</v>
      </c>
      <c r="M194" s="6"/>
      <c r="N194" s="6"/>
      <c r="O194" s="6"/>
      <c r="P194" s="6" t="str">
        <f>IF(OR(Tableau1[[#This Row],[Projet ou client]]="Léane",Tableau1[[#This Row],[Projet ou client]]="Valentine",Tableau1[[#This Row],[Projet ou client]]="Léon",Tableau1[[#This Row],[Projet ou client]]="Camille"),"Cours particuliers","Autre")</f>
        <v>Autre</v>
      </c>
    </row>
    <row r="195" spans="1:16" ht="28.9">
      <c r="A195" s="1" t="s">
        <v>31</v>
      </c>
      <c r="B195" s="4">
        <v>45937.359027777777</v>
      </c>
      <c r="C195" s="40">
        <f>Tableau1[[#This Row],[Date de début]]</f>
        <v>45937.359027777777</v>
      </c>
      <c r="D195" s="5">
        <f t="shared" si="3"/>
        <v>45937.359027777777</v>
      </c>
      <c r="E195" s="5">
        <v>45937.404861111107</v>
      </c>
      <c r="F195" s="6">
        <f t="shared" si="4"/>
        <v>1.1000000000000001</v>
      </c>
      <c r="G195" s="1" t="str">
        <f t="shared" si="5"/>
        <v>1h 6min</v>
      </c>
      <c r="H195" s="6">
        <v>0</v>
      </c>
      <c r="I195" s="6">
        <v>0</v>
      </c>
      <c r="J195" s="1" t="s">
        <v>2</v>
      </c>
      <c r="K195" s="1" t="s">
        <v>22</v>
      </c>
      <c r="L195" s="6">
        <f>Tableau1[[#This Row],[Tarif horaire]]*Tableau1[[#This Row],[Durée]]</f>
        <v>0</v>
      </c>
      <c r="M195" s="6"/>
      <c r="N195" s="6"/>
      <c r="O195" s="6"/>
      <c r="P195" s="6" t="str">
        <f>IF(OR(Tableau1[[#This Row],[Projet ou client]]="Léane",Tableau1[[#This Row],[Projet ou client]]="Valentine",Tableau1[[#This Row],[Projet ou client]]="Léon",Tableau1[[#This Row],[Projet ou client]]="Camille"),"Cours particuliers","Autre")</f>
        <v>Autre</v>
      </c>
    </row>
    <row r="196" spans="1:16">
      <c r="A196" s="1" t="s">
        <v>104</v>
      </c>
      <c r="B196" s="4">
        <v>45937.422222222223</v>
      </c>
      <c r="C196" s="40">
        <f>Tableau1[[#This Row],[Date de début]]</f>
        <v>45937.422222222223</v>
      </c>
      <c r="D196" s="5">
        <f t="shared" si="3"/>
        <v>45937.422222222223</v>
      </c>
      <c r="E196" s="5">
        <v>45937.664583333331</v>
      </c>
      <c r="F196" s="6">
        <f t="shared" si="4"/>
        <v>5.8170000000000002</v>
      </c>
      <c r="G196" s="1" t="str">
        <f t="shared" si="5"/>
        <v>5h 49min</v>
      </c>
      <c r="H196" s="6">
        <v>0</v>
      </c>
      <c r="I196" s="6">
        <v>0</v>
      </c>
      <c r="J196" s="1" t="s">
        <v>2</v>
      </c>
      <c r="K196" s="1" t="s">
        <v>22</v>
      </c>
      <c r="L196" s="6">
        <f>Tableau1[[#This Row],[Tarif horaire]]*Tableau1[[#This Row],[Durée]]</f>
        <v>0</v>
      </c>
      <c r="M196" s="6"/>
      <c r="N196" s="6"/>
      <c r="O196" s="6"/>
      <c r="P196" s="6" t="str">
        <f>IF(OR(Tableau1[[#This Row],[Projet ou client]]="Léane",Tableau1[[#This Row],[Projet ou client]]="Valentine",Tableau1[[#This Row],[Projet ou client]]="Léon",Tableau1[[#This Row],[Projet ou client]]="Camille"),"Cours particuliers","Autre")</f>
        <v>Autre</v>
      </c>
    </row>
    <row r="197" spans="1:16" ht="28.9">
      <c r="A197" s="1" t="s">
        <v>31</v>
      </c>
      <c r="B197" s="4">
        <v>45937.717361111107</v>
      </c>
      <c r="C197" s="40">
        <f>Tableau1[[#This Row],[Date de début]]</f>
        <v>45937.717361111107</v>
      </c>
      <c r="D197" s="5">
        <f t="shared" si="3"/>
        <v>45937.717361111107</v>
      </c>
      <c r="E197" s="5">
        <v>45937.829166666663</v>
      </c>
      <c r="F197" s="6">
        <f t="shared" si="4"/>
        <v>2.6829999999999998</v>
      </c>
      <c r="G197" s="1" t="str">
        <f t="shared" si="5"/>
        <v>2h 41min</v>
      </c>
      <c r="H197" s="6">
        <v>0</v>
      </c>
      <c r="I197" s="6">
        <v>0</v>
      </c>
      <c r="J197" s="1" t="s">
        <v>2</v>
      </c>
      <c r="K197" s="1" t="s">
        <v>22</v>
      </c>
      <c r="L197" s="6">
        <f>Tableau1[[#This Row],[Tarif horaire]]*Tableau1[[#This Row],[Durée]]</f>
        <v>0</v>
      </c>
      <c r="M197" s="6"/>
      <c r="N197" s="6"/>
      <c r="O197" s="6"/>
      <c r="P197" s="6" t="str">
        <f>IF(OR(Tableau1[[#This Row],[Projet ou client]]="Léane",Tableau1[[#This Row],[Projet ou client]]="Valentine",Tableau1[[#This Row],[Projet ou client]]="Léon",Tableau1[[#This Row],[Projet ou client]]="Camille"),"Cours particuliers","Autre")</f>
        <v>Autre</v>
      </c>
    </row>
    <row r="198" spans="1:16">
      <c r="A198" s="1" t="s">
        <v>104</v>
      </c>
      <c r="B198" s="4">
        <v>45938.327083333337</v>
      </c>
      <c r="C198" s="40">
        <f>Tableau1[[#This Row],[Date de début]]</f>
        <v>45938.327083333337</v>
      </c>
      <c r="D198" s="5">
        <f t="shared" si="3"/>
        <v>45938.327083333337</v>
      </c>
      <c r="E198" s="5">
        <v>45938.422222222223</v>
      </c>
      <c r="F198" s="6">
        <f t="shared" si="4"/>
        <v>2.2829999999999999</v>
      </c>
      <c r="G198" s="1" t="str">
        <f t="shared" si="5"/>
        <v>2h 17min</v>
      </c>
      <c r="H198" s="6">
        <v>0</v>
      </c>
      <c r="I198" s="6">
        <v>0</v>
      </c>
      <c r="J198" s="1" t="s">
        <v>2</v>
      </c>
      <c r="K198" s="1" t="s">
        <v>22</v>
      </c>
      <c r="L198" s="6">
        <f>Tableau1[[#This Row],[Tarif horaire]]*Tableau1[[#This Row],[Durée]]</f>
        <v>0</v>
      </c>
      <c r="M198" s="6"/>
      <c r="N198" s="6"/>
      <c r="O198" s="6"/>
      <c r="P198" s="6" t="str">
        <f>IF(OR(Tableau1[[#This Row],[Projet ou client]]="Léane",Tableau1[[#This Row],[Projet ou client]]="Valentine",Tableau1[[#This Row],[Projet ou client]]="Léon",Tableau1[[#This Row],[Projet ou client]]="Camille"),"Cours particuliers","Autre")</f>
        <v>Autre</v>
      </c>
    </row>
    <row r="199" spans="1:16">
      <c r="A199" s="1" t="s">
        <v>71</v>
      </c>
      <c r="B199" s="4">
        <v>45938.440972222219</v>
      </c>
      <c r="C199" s="40">
        <f>Tableau1[[#This Row],[Date de début]]</f>
        <v>45938.440972222219</v>
      </c>
      <c r="D199" s="5">
        <f t="shared" si="3"/>
        <v>45938.440972222219</v>
      </c>
      <c r="E199" s="5">
        <v>45938.516666666663</v>
      </c>
      <c r="F199" s="6">
        <f t="shared" si="4"/>
        <v>1.8169999999999999</v>
      </c>
      <c r="G199" s="1" t="str">
        <f t="shared" si="5"/>
        <v>1h 49min</v>
      </c>
      <c r="H199" s="6">
        <v>40</v>
      </c>
      <c r="I199" s="6">
        <v>0</v>
      </c>
      <c r="J199" s="1" t="s">
        <v>2</v>
      </c>
      <c r="K199" s="1" t="s">
        <v>22</v>
      </c>
      <c r="L199" s="6">
        <f>Tableau1[[#This Row],[Tarif horaire]]*Tableau1[[#This Row],[Durée]]</f>
        <v>72.679999999999993</v>
      </c>
      <c r="M199" s="6"/>
      <c r="N199" s="6"/>
      <c r="O199" s="6"/>
      <c r="P199" s="6" t="str">
        <f>IF(OR(Tableau1[[#This Row],[Projet ou client]]="Léane",Tableau1[[#This Row],[Projet ou client]]="Valentine",Tableau1[[#This Row],[Projet ou client]]="Léon",Tableau1[[#This Row],[Projet ou client]]="Camille"),"Cours particuliers","Autre")</f>
        <v>Cours particuliers</v>
      </c>
    </row>
    <row r="200" spans="1:16" ht="28.9">
      <c r="A200" s="1" t="s">
        <v>50</v>
      </c>
      <c r="B200" s="4">
        <v>45938.625</v>
      </c>
      <c r="C200" s="40">
        <f>Tableau1[[#This Row],[Date de début]]</f>
        <v>45938.625</v>
      </c>
      <c r="D200" s="5">
        <f t="shared" si="3"/>
        <v>45938.625</v>
      </c>
      <c r="E200" s="5">
        <v>45938.647222222222</v>
      </c>
      <c r="F200" s="6">
        <f t="shared" si="4"/>
        <v>0.53300000000000003</v>
      </c>
      <c r="G200" s="1" t="str">
        <f t="shared" si="5"/>
        <v>32m</v>
      </c>
      <c r="H200" s="6">
        <v>0</v>
      </c>
      <c r="I200" s="6">
        <v>0</v>
      </c>
      <c r="J200" s="1" t="s">
        <v>2</v>
      </c>
      <c r="K200" s="1" t="s">
        <v>22</v>
      </c>
      <c r="L200" s="6">
        <f>Tableau1[[#This Row],[Tarif horaire]]*Tableau1[[#This Row],[Durée]]</f>
        <v>0</v>
      </c>
      <c r="M200" s="6"/>
      <c r="N200" s="6"/>
      <c r="O200" s="6"/>
      <c r="P200" s="6" t="str">
        <f>IF(OR(Tableau1[[#This Row],[Projet ou client]]="Léane",Tableau1[[#This Row],[Projet ou client]]="Valentine",Tableau1[[#This Row],[Projet ou client]]="Léon",Tableau1[[#This Row],[Projet ou client]]="Camille"),"Cours particuliers","Autre")</f>
        <v>Autre</v>
      </c>
    </row>
    <row r="201" spans="1:16" ht="43.15">
      <c r="A201" s="1" t="s">
        <v>54</v>
      </c>
      <c r="B201" s="4">
        <v>45938.651388888888</v>
      </c>
      <c r="C201" s="40">
        <f>Tableau1[[#This Row],[Date de début]]</f>
        <v>45938.651388888888</v>
      </c>
      <c r="D201" s="5">
        <f t="shared" si="3"/>
        <v>45938.651388888888</v>
      </c>
      <c r="E201" s="5">
        <v>45938.659722222219</v>
      </c>
      <c r="F201" s="6">
        <f t="shared" si="4"/>
        <v>0.2</v>
      </c>
      <c r="G201" s="1" t="str">
        <f t="shared" si="5"/>
        <v>12m</v>
      </c>
      <c r="H201" s="6">
        <v>0</v>
      </c>
      <c r="I201" s="6">
        <v>0</v>
      </c>
      <c r="J201" s="1" t="s">
        <v>2</v>
      </c>
      <c r="K201" s="1" t="s">
        <v>22</v>
      </c>
      <c r="L201" s="6">
        <f>Tableau1[[#This Row],[Tarif horaire]]*Tableau1[[#This Row],[Durée]]</f>
        <v>0</v>
      </c>
      <c r="M201" s="6"/>
      <c r="N201" s="6"/>
      <c r="O201" s="6"/>
      <c r="P201" s="6" t="str">
        <f>IF(OR(Tableau1[[#This Row],[Projet ou client]]="Léane",Tableau1[[#This Row],[Projet ou client]]="Valentine",Tableau1[[#This Row],[Projet ou client]]="Léon",Tableau1[[#This Row],[Projet ou client]]="Camille"),"Cours particuliers","Autre")</f>
        <v>Autre</v>
      </c>
    </row>
    <row r="202" spans="1:16">
      <c r="A202" s="1" t="s">
        <v>127</v>
      </c>
      <c r="B202" s="4">
        <v>45938.677083333328</v>
      </c>
      <c r="C202" s="40">
        <f>Tableau1[[#This Row],[Date de début]]</f>
        <v>45938.677083333328</v>
      </c>
      <c r="D202" s="5">
        <f t="shared" si="3"/>
        <v>45938.677083333328</v>
      </c>
      <c r="E202" s="5">
        <v>45938.743055555555</v>
      </c>
      <c r="F202" s="6">
        <f t="shared" si="4"/>
        <v>1.583</v>
      </c>
      <c r="G202" s="1" t="str">
        <f t="shared" si="5"/>
        <v>1h 35min</v>
      </c>
      <c r="H202" s="6">
        <v>40</v>
      </c>
      <c r="I202" s="6">
        <v>0</v>
      </c>
      <c r="J202" s="1" t="s">
        <v>2</v>
      </c>
      <c r="K202" s="1" t="s">
        <v>22</v>
      </c>
      <c r="L202" s="6">
        <f>Tableau1[[#This Row],[Tarif horaire]]*Tableau1[[#This Row],[Durée]]</f>
        <v>63.32</v>
      </c>
      <c r="M202" s="6"/>
      <c r="N202" s="6"/>
      <c r="O202" s="6"/>
      <c r="P202" s="6" t="str">
        <f>IF(OR(Tableau1[[#This Row],[Projet ou client]]="Léane",Tableau1[[#This Row],[Projet ou client]]="Valentine",Tableau1[[#This Row],[Projet ou client]]="Léon",Tableau1[[#This Row],[Projet ou client]]="Camille"),"Cours particuliers","Autre")</f>
        <v>Cours particuliers</v>
      </c>
    </row>
    <row r="203" spans="1:16" ht="28.9">
      <c r="A203" s="1" t="s">
        <v>69</v>
      </c>
      <c r="B203" s="4">
        <v>45938.830555555556</v>
      </c>
      <c r="C203" s="40">
        <f>Tableau1[[#This Row],[Date de début]]</f>
        <v>45938.830555555556</v>
      </c>
      <c r="D203" s="5">
        <f t="shared" si="3"/>
        <v>45938.830555555556</v>
      </c>
      <c r="E203" s="5">
        <v>45938.839583333334</v>
      </c>
      <c r="F203" s="6">
        <f t="shared" si="4"/>
        <v>0.217</v>
      </c>
      <c r="G203" s="1" t="str">
        <f t="shared" si="5"/>
        <v>13m</v>
      </c>
      <c r="H203" s="6">
        <v>0</v>
      </c>
      <c r="I203" s="6">
        <v>0</v>
      </c>
      <c r="J203" s="1" t="s">
        <v>2</v>
      </c>
      <c r="K203" s="1" t="s">
        <v>22</v>
      </c>
      <c r="L203" s="6">
        <f>Tableau1[[#This Row],[Tarif horaire]]*Tableau1[[#This Row],[Durée]]</f>
        <v>0</v>
      </c>
      <c r="M203" s="6"/>
      <c r="N203" s="6"/>
      <c r="O203" s="6"/>
      <c r="P203" s="6" t="str">
        <f>IF(OR(Tableau1[[#This Row],[Projet ou client]]="Léane",Tableau1[[#This Row],[Projet ou client]]="Valentine",Tableau1[[#This Row],[Projet ou client]]="Léon",Tableau1[[#This Row],[Projet ou client]]="Camille"),"Cours particuliers","Autre")</f>
        <v>Autre</v>
      </c>
    </row>
    <row r="204" spans="1:16" ht="28.9">
      <c r="A204" s="1" t="s">
        <v>50</v>
      </c>
      <c r="B204" s="4">
        <v>45939.285416666666</v>
      </c>
      <c r="C204" s="40">
        <f>Tableau1[[#This Row],[Date de début]]</f>
        <v>45939.285416666666</v>
      </c>
      <c r="D204" s="5">
        <f t="shared" si="3"/>
        <v>45939.285416666666</v>
      </c>
      <c r="E204" s="5">
        <v>45939.3125</v>
      </c>
      <c r="F204" s="6">
        <f t="shared" si="4"/>
        <v>0.65</v>
      </c>
      <c r="G204" s="1" t="str">
        <f t="shared" si="5"/>
        <v>39m</v>
      </c>
      <c r="H204" s="6">
        <v>0</v>
      </c>
      <c r="I204" s="6">
        <v>0</v>
      </c>
      <c r="J204" s="1" t="s">
        <v>2</v>
      </c>
      <c r="K204" s="1" t="s">
        <v>22</v>
      </c>
      <c r="L204" s="6">
        <f>Tableau1[[#This Row],[Tarif horaire]]*Tableau1[[#This Row],[Durée]]</f>
        <v>0</v>
      </c>
      <c r="M204" s="6"/>
      <c r="N204" s="6"/>
      <c r="O204" s="6"/>
      <c r="P204" s="6" t="str">
        <f>IF(OR(Tableau1[[#This Row],[Projet ou client]]="Léane",Tableau1[[#This Row],[Projet ou client]]="Valentine",Tableau1[[#This Row],[Projet ou client]]="Léon",Tableau1[[#This Row],[Projet ou client]]="Camille"),"Cours particuliers","Autre")</f>
        <v>Autre</v>
      </c>
    </row>
    <row r="205" spans="1:16">
      <c r="A205" s="1" t="s">
        <v>104</v>
      </c>
      <c r="B205" s="4">
        <v>45939.331250000003</v>
      </c>
      <c r="C205" s="40">
        <f>Tableau1[[#This Row],[Date de début]]</f>
        <v>45939.331250000003</v>
      </c>
      <c r="D205" s="5">
        <f t="shared" si="3"/>
        <v>45939.331250000003</v>
      </c>
      <c r="E205" s="5">
        <v>45939.509722222225</v>
      </c>
      <c r="F205" s="6">
        <f t="shared" si="4"/>
        <v>4.2830000000000004</v>
      </c>
      <c r="G205" s="1" t="str">
        <f t="shared" si="5"/>
        <v>4h 17min</v>
      </c>
      <c r="H205" s="6">
        <v>0</v>
      </c>
      <c r="I205" s="6">
        <v>0</v>
      </c>
      <c r="J205" s="1" t="s">
        <v>2</v>
      </c>
      <c r="K205" s="1" t="s">
        <v>22</v>
      </c>
      <c r="L205" s="6">
        <f>Tableau1[[#This Row],[Tarif horaire]]*Tableau1[[#This Row],[Durée]]</f>
        <v>0</v>
      </c>
      <c r="M205" s="6"/>
      <c r="N205" s="6"/>
      <c r="O205" s="6"/>
      <c r="P205" s="6" t="str">
        <f>IF(OR(Tableau1[[#This Row],[Projet ou client]]="Léane",Tableau1[[#This Row],[Projet ou client]]="Valentine",Tableau1[[#This Row],[Projet ou client]]="Léon",Tableau1[[#This Row],[Projet ou client]]="Camille"),"Cours particuliers","Autre")</f>
        <v>Autre</v>
      </c>
    </row>
    <row r="206" spans="1:16">
      <c r="A206" s="1" t="s">
        <v>25</v>
      </c>
      <c r="B206" s="4">
        <v>45939.595138888893</v>
      </c>
      <c r="C206" s="40">
        <f>Tableau1[[#This Row],[Date de début]]</f>
        <v>45939.595138888893</v>
      </c>
      <c r="D206" s="5">
        <f t="shared" si="3"/>
        <v>45939.595138888893</v>
      </c>
      <c r="E206" s="5">
        <v>45939.625</v>
      </c>
      <c r="F206" s="6">
        <f t="shared" si="4"/>
        <v>0.71699999999999997</v>
      </c>
      <c r="G206" s="1" t="str">
        <f t="shared" si="5"/>
        <v>43m</v>
      </c>
      <c r="H206" s="6">
        <v>0</v>
      </c>
      <c r="I206" s="6">
        <v>0</v>
      </c>
      <c r="J206" s="1" t="s">
        <v>2</v>
      </c>
      <c r="K206" s="1" t="s">
        <v>22</v>
      </c>
      <c r="L206" s="6">
        <f>Tableau1[[#This Row],[Tarif horaire]]*Tableau1[[#This Row],[Durée]]</f>
        <v>0</v>
      </c>
      <c r="M206" s="6"/>
      <c r="N206" s="6"/>
      <c r="O206" s="6"/>
      <c r="P206" s="6" t="str">
        <f>IF(OR(Tableau1[[#This Row],[Projet ou client]]="Léane",Tableau1[[#This Row],[Projet ou client]]="Valentine",Tableau1[[#This Row],[Projet ou client]]="Léon",Tableau1[[#This Row],[Projet ou client]]="Camille"),"Cours particuliers","Autre")</f>
        <v>Autre</v>
      </c>
    </row>
    <row r="207" spans="1:16" ht="43.15">
      <c r="A207" s="1" t="s">
        <v>54</v>
      </c>
      <c r="B207" s="4">
        <v>45939.62777777778</v>
      </c>
      <c r="C207" s="40">
        <f>Tableau1[[#This Row],[Date de début]]</f>
        <v>45939.62777777778</v>
      </c>
      <c r="D207" s="5">
        <f t="shared" si="3"/>
        <v>45939.62777777778</v>
      </c>
      <c r="E207" s="5">
        <v>45939.634722222225</v>
      </c>
      <c r="F207" s="6">
        <f t="shared" si="4"/>
        <v>0.16700000000000001</v>
      </c>
      <c r="G207" s="1" t="str">
        <f t="shared" si="5"/>
        <v>10m</v>
      </c>
      <c r="H207" s="6">
        <v>0</v>
      </c>
      <c r="I207" s="6">
        <v>0</v>
      </c>
      <c r="J207" s="1" t="s">
        <v>2</v>
      </c>
      <c r="K207" s="1" t="s">
        <v>22</v>
      </c>
      <c r="L207" s="6">
        <f>Tableau1[[#This Row],[Tarif horaire]]*Tableau1[[#This Row],[Durée]]</f>
        <v>0</v>
      </c>
      <c r="M207" s="6"/>
      <c r="N207" s="6"/>
      <c r="O207" s="6"/>
      <c r="P207" s="6" t="str">
        <f>IF(OR(Tableau1[[#This Row],[Projet ou client]]="Léane",Tableau1[[#This Row],[Projet ou client]]="Valentine",Tableau1[[#This Row],[Projet ou client]]="Léon",Tableau1[[#This Row],[Projet ou client]]="Camille"),"Cours particuliers","Autre")</f>
        <v>Autre</v>
      </c>
    </row>
    <row r="208" spans="1:16" ht="28.9">
      <c r="A208" s="1" t="s">
        <v>31</v>
      </c>
      <c r="B208" s="4">
        <v>45939.634722222225</v>
      </c>
      <c r="C208" s="40">
        <f>Tableau1[[#This Row],[Date de début]]</f>
        <v>45939.634722222225</v>
      </c>
      <c r="D208" s="5">
        <f t="shared" si="3"/>
        <v>45939.634722222225</v>
      </c>
      <c r="E208" s="5">
        <v>45939.664583333331</v>
      </c>
      <c r="F208" s="6">
        <f t="shared" si="4"/>
        <v>0.71699999999999997</v>
      </c>
      <c r="G208" s="1" t="str">
        <f t="shared" si="5"/>
        <v>43m</v>
      </c>
      <c r="H208" s="6">
        <v>0</v>
      </c>
      <c r="I208" s="6">
        <v>0</v>
      </c>
      <c r="J208" s="1" t="s">
        <v>2</v>
      </c>
      <c r="K208" s="1" t="s">
        <v>22</v>
      </c>
      <c r="L208" s="6">
        <f>Tableau1[[#This Row],[Tarif horaire]]*Tableau1[[#This Row],[Durée]]</f>
        <v>0</v>
      </c>
      <c r="M208" s="6"/>
      <c r="N208" s="6"/>
      <c r="O208" s="6"/>
      <c r="P208" s="6" t="str">
        <f>IF(OR(Tableau1[[#This Row],[Projet ou client]]="Léane",Tableau1[[#This Row],[Projet ou client]]="Valentine",Tableau1[[#This Row],[Projet ou client]]="Léon",Tableau1[[#This Row],[Projet ou client]]="Camille"),"Cours particuliers","Autre")</f>
        <v>Autre</v>
      </c>
    </row>
    <row r="209" spans="1:16">
      <c r="A209" s="1" t="s">
        <v>110</v>
      </c>
      <c r="B209" s="4">
        <v>45939.685416666667</v>
      </c>
      <c r="C209" s="40">
        <f>Tableau1[[#This Row],[Date de début]]</f>
        <v>45939.685416666667</v>
      </c>
      <c r="D209" s="5">
        <f t="shared" si="3"/>
        <v>45939.685416666667</v>
      </c>
      <c r="E209" s="5">
        <v>45939.729166666672</v>
      </c>
      <c r="F209" s="6">
        <f t="shared" si="4"/>
        <v>1.05</v>
      </c>
      <c r="G209" s="1" t="str">
        <f t="shared" si="5"/>
        <v>1h 3min</v>
      </c>
      <c r="H209" s="6">
        <v>35</v>
      </c>
      <c r="I209" s="6">
        <v>0</v>
      </c>
      <c r="J209" s="1" t="s">
        <v>2</v>
      </c>
      <c r="K209" s="1" t="s">
        <v>22</v>
      </c>
      <c r="L209" s="6">
        <f>Tableau1[[#This Row],[Tarif horaire]]*Tableau1[[#This Row],[Durée]]</f>
        <v>36.75</v>
      </c>
      <c r="M209" s="6"/>
      <c r="N209" s="6"/>
      <c r="O209" s="6"/>
      <c r="P209" s="6" t="str">
        <f>IF(OR(Tableau1[[#This Row],[Projet ou client]]="Léane",Tableau1[[#This Row],[Projet ou client]]="Valentine",Tableau1[[#This Row],[Projet ou client]]="Léon",Tableau1[[#This Row],[Projet ou client]]="Camille"),"Cours particuliers","Autre")</f>
        <v>Cours particuliers</v>
      </c>
    </row>
    <row r="210" spans="1:16" ht="43.15">
      <c r="A210" s="1" t="s">
        <v>54</v>
      </c>
      <c r="B210" s="4">
        <v>45939.733333333337</v>
      </c>
      <c r="C210" s="40">
        <f>Tableau1[[#This Row],[Date de début]]</f>
        <v>45939.733333333337</v>
      </c>
      <c r="D210" s="5">
        <f t="shared" si="3"/>
        <v>45939.733333333337</v>
      </c>
      <c r="E210" s="5">
        <v>45939.748611111107</v>
      </c>
      <c r="F210" s="6">
        <f t="shared" si="4"/>
        <v>0.36699999999999999</v>
      </c>
      <c r="G210" s="1" t="str">
        <f t="shared" si="5"/>
        <v>22m</v>
      </c>
      <c r="H210" s="6">
        <v>0</v>
      </c>
      <c r="I210" s="6">
        <v>0</v>
      </c>
      <c r="J210" s="1" t="s">
        <v>2</v>
      </c>
      <c r="K210" s="1" t="s">
        <v>22</v>
      </c>
      <c r="L210" s="6">
        <f>Tableau1[[#This Row],[Tarif horaire]]*Tableau1[[#This Row],[Durée]]</f>
        <v>0</v>
      </c>
      <c r="M210" s="6"/>
      <c r="N210" s="6"/>
      <c r="O210" s="6"/>
      <c r="P210" s="6" t="str">
        <f>IF(OR(Tableau1[[#This Row],[Projet ou client]]="Léane",Tableau1[[#This Row],[Projet ou client]]="Valentine",Tableau1[[#This Row],[Projet ou client]]="Léon",Tableau1[[#This Row],[Projet ou client]]="Camille"),"Cours particuliers","Autre")</f>
        <v>Autre</v>
      </c>
    </row>
    <row r="211" spans="1:16" ht="28.9">
      <c r="A211" s="1" t="s">
        <v>31</v>
      </c>
      <c r="B211" s="4">
        <v>45940.286111111112</v>
      </c>
      <c r="C211" s="40">
        <f>Tableau1[[#This Row],[Date de début]]</f>
        <v>45940.286111111112</v>
      </c>
      <c r="D211" s="5">
        <f t="shared" si="3"/>
        <v>45940.286111111112</v>
      </c>
      <c r="E211" s="5">
        <v>45940.311111111107</v>
      </c>
      <c r="F211" s="6">
        <f t="shared" si="4"/>
        <v>0.6</v>
      </c>
      <c r="G211" s="1" t="str">
        <f t="shared" si="5"/>
        <v>36m</v>
      </c>
      <c r="H211" s="6">
        <v>0</v>
      </c>
      <c r="I211" s="6">
        <v>0</v>
      </c>
      <c r="J211" s="1" t="s">
        <v>2</v>
      </c>
      <c r="K211" s="1" t="s">
        <v>22</v>
      </c>
      <c r="L211" s="6">
        <f>Tableau1[[#This Row],[Tarif horaire]]*Tableau1[[#This Row],[Durée]]</f>
        <v>0</v>
      </c>
      <c r="M211" s="6"/>
      <c r="N211" s="6"/>
      <c r="O211" s="6"/>
      <c r="P211" s="6" t="str">
        <f>IF(OR(Tableau1[[#This Row],[Projet ou client]]="Léane",Tableau1[[#This Row],[Projet ou client]]="Valentine",Tableau1[[#This Row],[Projet ou client]]="Léon",Tableau1[[#This Row],[Projet ou client]]="Camille"),"Cours particuliers","Autre")</f>
        <v>Autre</v>
      </c>
    </row>
    <row r="212" spans="1:16">
      <c r="A212" s="1" t="s">
        <v>104</v>
      </c>
      <c r="B212" s="4">
        <v>45940.330555555556</v>
      </c>
      <c r="C212" s="40">
        <f>Tableau1[[#This Row],[Date de début]]</f>
        <v>45940.330555555556</v>
      </c>
      <c r="D212" s="5">
        <f t="shared" si="3"/>
        <v>45940.330555555556</v>
      </c>
      <c r="E212" s="5">
        <v>45940.452777777777</v>
      </c>
      <c r="F212" s="6">
        <f t="shared" si="4"/>
        <v>2.9329999999999998</v>
      </c>
      <c r="G212" s="1" t="str">
        <f t="shared" si="5"/>
        <v>2h 56min</v>
      </c>
      <c r="H212" s="6">
        <v>0</v>
      </c>
      <c r="I212" s="6">
        <v>0</v>
      </c>
      <c r="J212" s="1" t="s">
        <v>2</v>
      </c>
      <c r="K212" s="1" t="s">
        <v>22</v>
      </c>
      <c r="L212" s="6">
        <f>Tableau1[[#This Row],[Tarif horaire]]*Tableau1[[#This Row],[Durée]]</f>
        <v>0</v>
      </c>
      <c r="M212" s="6"/>
      <c r="N212" s="6"/>
      <c r="O212" s="6"/>
      <c r="P212" s="6" t="str">
        <f>IF(OR(Tableau1[[#This Row],[Projet ou client]]="Léane",Tableau1[[#This Row],[Projet ou client]]="Valentine",Tableau1[[#This Row],[Projet ou client]]="Léon",Tableau1[[#This Row],[Projet ou client]]="Camille"),"Cours particuliers","Autre")</f>
        <v>Autre</v>
      </c>
    </row>
    <row r="213" spans="1:16">
      <c r="A213" s="1" t="s">
        <v>123</v>
      </c>
      <c r="B213" s="4">
        <v>45940.576388888891</v>
      </c>
      <c r="C213" s="40">
        <f>Tableau1[[#This Row],[Date de début]]</f>
        <v>45940.576388888891</v>
      </c>
      <c r="D213" s="5">
        <f t="shared" si="3"/>
        <v>45940.576388888891</v>
      </c>
      <c r="E213" s="5">
        <v>45940.59375</v>
      </c>
      <c r="F213" s="6">
        <f t="shared" si="4"/>
        <v>0.41699999999999998</v>
      </c>
      <c r="G213" s="1" t="str">
        <f t="shared" si="5"/>
        <v>25m</v>
      </c>
      <c r="H213" s="6">
        <v>0</v>
      </c>
      <c r="I213" s="6">
        <v>0</v>
      </c>
      <c r="J213" s="1" t="s">
        <v>2</v>
      </c>
      <c r="K213" s="1" t="s">
        <v>22</v>
      </c>
      <c r="L213" s="6">
        <f>Tableau1[[#This Row],[Tarif horaire]]*Tableau1[[#This Row],[Durée]]</f>
        <v>0</v>
      </c>
      <c r="M213" s="6"/>
      <c r="N213" s="6"/>
      <c r="O213" s="6"/>
      <c r="P213" s="6" t="str">
        <f>IF(OR(Tableau1[[#This Row],[Projet ou client]]="Léane",Tableau1[[#This Row],[Projet ou client]]="Valentine",Tableau1[[#This Row],[Projet ou client]]="Léon",Tableau1[[#This Row],[Projet ou client]]="Camille"),"Cours particuliers","Autre")</f>
        <v>Autre</v>
      </c>
    </row>
    <row r="214" spans="1:16">
      <c r="A214" s="1" t="s">
        <v>25</v>
      </c>
      <c r="B214" s="4">
        <v>45940.598611111112</v>
      </c>
      <c r="C214" s="40">
        <f>Tableau1[[#This Row],[Date de début]]</f>
        <v>45940.598611111112</v>
      </c>
      <c r="D214" s="5">
        <f t="shared" si="3"/>
        <v>45940.598611111112</v>
      </c>
      <c r="E214" s="5">
        <v>45940.645833333328</v>
      </c>
      <c r="F214" s="6">
        <f t="shared" si="4"/>
        <v>1.133</v>
      </c>
      <c r="G214" s="1" t="str">
        <f t="shared" si="5"/>
        <v>1h 8min</v>
      </c>
      <c r="H214" s="6">
        <v>0</v>
      </c>
      <c r="I214" s="6">
        <v>0</v>
      </c>
      <c r="J214" s="1" t="s">
        <v>2</v>
      </c>
      <c r="K214" s="1" t="s">
        <v>22</v>
      </c>
      <c r="L214" s="6">
        <f>Tableau1[[#This Row],[Tarif horaire]]*Tableau1[[#This Row],[Durée]]</f>
        <v>0</v>
      </c>
      <c r="M214" s="6"/>
      <c r="N214" s="6"/>
      <c r="O214" s="6"/>
      <c r="P214" s="6" t="str">
        <f>IF(OR(Tableau1[[#This Row],[Projet ou client]]="Léane",Tableau1[[#This Row],[Projet ou client]]="Valentine",Tableau1[[#This Row],[Projet ou client]]="Léon",Tableau1[[#This Row],[Projet ou client]]="Camille"),"Cours particuliers","Autre")</f>
        <v>Autre</v>
      </c>
    </row>
    <row r="215" spans="1:16">
      <c r="A215" s="1" t="s">
        <v>75</v>
      </c>
      <c r="B215" s="4">
        <v>45940.645138888889</v>
      </c>
      <c r="C215" s="40">
        <f>Tableau1[[#This Row],[Date de début]]</f>
        <v>45940.645138888889</v>
      </c>
      <c r="D215" s="5">
        <f t="shared" si="3"/>
        <v>45940.645138888889</v>
      </c>
      <c r="E215" s="5">
        <v>45940.680555555555</v>
      </c>
      <c r="F215" s="6">
        <f t="shared" si="4"/>
        <v>0.85</v>
      </c>
      <c r="G215" s="1" t="str">
        <f t="shared" si="5"/>
        <v>51m</v>
      </c>
      <c r="H215" s="6">
        <v>0</v>
      </c>
      <c r="I215" s="6">
        <v>0</v>
      </c>
      <c r="J215" s="1" t="s">
        <v>151</v>
      </c>
      <c r="K215" s="1" t="s">
        <v>22</v>
      </c>
      <c r="L215" s="6">
        <f>Tableau1[[#This Row],[Tarif horaire]]*Tableau1[[#This Row],[Durée]]</f>
        <v>0</v>
      </c>
      <c r="M215" s="6"/>
      <c r="N215" s="6"/>
      <c r="O215" s="6"/>
      <c r="P215" s="6" t="str">
        <f>IF(OR(Tableau1[[#This Row],[Projet ou client]]="Léane",Tableau1[[#This Row],[Projet ou client]]="Valentine",Tableau1[[#This Row],[Projet ou client]]="Léon",Tableau1[[#This Row],[Projet ou client]]="Camille"),"Cours particuliers","Autre")</f>
        <v>Autre</v>
      </c>
    </row>
    <row r="216" spans="1:16">
      <c r="A216" s="1" t="s">
        <v>25</v>
      </c>
      <c r="B216" s="4">
        <v>45940.68472222222</v>
      </c>
      <c r="C216" s="40">
        <f>Tableau1[[#This Row],[Date de début]]</f>
        <v>45940.68472222222</v>
      </c>
      <c r="D216" s="5">
        <f t="shared" si="3"/>
        <v>45940.68472222222</v>
      </c>
      <c r="E216" s="5">
        <v>45940.792361111111</v>
      </c>
      <c r="F216" s="6">
        <f t="shared" si="4"/>
        <v>2.5830000000000002</v>
      </c>
      <c r="G216" s="1" t="str">
        <f t="shared" si="5"/>
        <v>2h 35min</v>
      </c>
      <c r="H216" s="6">
        <v>0</v>
      </c>
      <c r="I216" s="6">
        <v>0</v>
      </c>
      <c r="J216" s="1" t="s">
        <v>2</v>
      </c>
      <c r="K216" s="1" t="s">
        <v>22</v>
      </c>
      <c r="L216" s="6">
        <f>Tableau1[[#This Row],[Tarif horaire]]*Tableau1[[#This Row],[Durée]]</f>
        <v>0</v>
      </c>
      <c r="M216" s="6"/>
      <c r="N216" s="6"/>
      <c r="O216" s="6"/>
      <c r="P216" s="6" t="str">
        <f>IF(OR(Tableau1[[#This Row],[Projet ou client]]="Léane",Tableau1[[#This Row],[Projet ou client]]="Valentine",Tableau1[[#This Row],[Projet ou client]]="Léon",Tableau1[[#This Row],[Projet ou client]]="Camille"),"Cours particuliers","Autre")</f>
        <v>Autre</v>
      </c>
    </row>
    <row r="217" spans="1:16">
      <c r="A217" s="1" t="s">
        <v>150</v>
      </c>
      <c r="B217" s="4">
        <v>45942.377083333333</v>
      </c>
      <c r="C217" s="40">
        <f>Tableau1[[#This Row],[Date de début]]</f>
        <v>45942.377083333333</v>
      </c>
      <c r="D217" s="5">
        <f t="shared" si="3"/>
        <v>45942.377083333333</v>
      </c>
      <c r="E217" s="5">
        <v>45942.388888888891</v>
      </c>
      <c r="F217" s="6">
        <f t="shared" si="4"/>
        <v>0.28299999999999997</v>
      </c>
      <c r="G217" s="1" t="str">
        <f t="shared" si="5"/>
        <v>17m</v>
      </c>
      <c r="H217" s="6">
        <v>0</v>
      </c>
      <c r="I217" s="6">
        <v>0</v>
      </c>
      <c r="J217" s="1" t="s">
        <v>2</v>
      </c>
      <c r="K217" s="1" t="s">
        <v>22</v>
      </c>
      <c r="L217" s="6">
        <f>Tableau1[[#This Row],[Tarif horaire]]*Tableau1[[#This Row],[Durée]]</f>
        <v>0</v>
      </c>
      <c r="M217" s="6"/>
      <c r="N217" s="6"/>
      <c r="O217" s="6"/>
      <c r="P217" s="6" t="str">
        <f>IF(OR(Tableau1[[#This Row],[Projet ou client]]="Léane",Tableau1[[#This Row],[Projet ou client]]="Valentine",Tableau1[[#This Row],[Projet ou client]]="Léon",Tableau1[[#This Row],[Projet ou client]]="Camille"),"Cours particuliers","Autre")</f>
        <v>Autre</v>
      </c>
    </row>
    <row r="218" spans="1:16">
      <c r="A218" s="1" t="s">
        <v>152</v>
      </c>
      <c r="B218" s="4">
        <v>45943.337500000001</v>
      </c>
      <c r="C218" s="40">
        <f>Tableau1[[#This Row],[Date de début]]</f>
        <v>45943.337500000001</v>
      </c>
      <c r="D218" s="5">
        <f t="shared" si="3"/>
        <v>45943.337500000001</v>
      </c>
      <c r="E218" s="5">
        <v>45943.382638888885</v>
      </c>
      <c r="F218" s="6">
        <f t="shared" si="4"/>
        <v>1.083</v>
      </c>
      <c r="G218" s="1" t="str">
        <f t="shared" si="5"/>
        <v>1h 5min</v>
      </c>
      <c r="H218" s="6">
        <v>0</v>
      </c>
      <c r="I218" s="6">
        <v>0</v>
      </c>
      <c r="J218" s="1" t="s">
        <v>153</v>
      </c>
      <c r="K218" s="1" t="s">
        <v>22</v>
      </c>
      <c r="L218" s="6">
        <f>Tableau1[[#This Row],[Tarif horaire]]*Tableau1[[#This Row],[Durée]]</f>
        <v>0</v>
      </c>
      <c r="M218" s="6"/>
      <c r="N218" s="6"/>
      <c r="O218" s="6"/>
      <c r="P218" s="6" t="str">
        <f>IF(OR(Tableau1[[#This Row],[Projet ou client]]="Léane",Tableau1[[#This Row],[Projet ou client]]="Valentine",Tableau1[[#This Row],[Projet ou client]]="Léon",Tableau1[[#This Row],[Projet ou client]]="Camille"),"Cours particuliers","Autre")</f>
        <v>Autre</v>
      </c>
    </row>
    <row r="219" spans="1:16">
      <c r="A219" s="1" t="s">
        <v>152</v>
      </c>
      <c r="B219" s="4">
        <v>45943.459027777775</v>
      </c>
      <c r="C219" s="40">
        <f>Tableau1[[#This Row],[Date de début]]</f>
        <v>45943.459027777775</v>
      </c>
      <c r="D219" s="5">
        <f t="shared" si="3"/>
        <v>45943.459027777775</v>
      </c>
      <c r="E219" s="5">
        <v>45943.538194444445</v>
      </c>
      <c r="F219" s="6">
        <f t="shared" si="4"/>
        <v>1.9</v>
      </c>
      <c r="G219" s="1" t="str">
        <f t="shared" si="5"/>
        <v>1h 54min</v>
      </c>
      <c r="H219" s="6">
        <v>0</v>
      </c>
      <c r="I219" s="6">
        <v>0</v>
      </c>
      <c r="J219" s="1" t="s">
        <v>154</v>
      </c>
      <c r="K219" s="1" t="s">
        <v>22</v>
      </c>
      <c r="L219" s="6">
        <f>Tableau1[[#This Row],[Tarif horaire]]*Tableau1[[#This Row],[Durée]]</f>
        <v>0</v>
      </c>
      <c r="M219" s="6"/>
      <c r="N219" s="6"/>
      <c r="O219" s="6"/>
      <c r="P219" s="6" t="str">
        <f>IF(OR(Tableau1[[#This Row],[Projet ou client]]="Léane",Tableau1[[#This Row],[Projet ou client]]="Valentine",Tableau1[[#This Row],[Projet ou client]]="Léon",Tableau1[[#This Row],[Projet ou client]]="Camille"),"Cours particuliers","Autre")</f>
        <v>Autre</v>
      </c>
    </row>
    <row r="220" spans="1:16">
      <c r="A220" s="1" t="s">
        <v>152</v>
      </c>
      <c r="B220" s="4">
        <v>45943.586111111115</v>
      </c>
      <c r="C220" s="40">
        <f>Tableau1[[#This Row],[Date de début]]</f>
        <v>45943.586111111115</v>
      </c>
      <c r="D220" s="5">
        <f t="shared" si="3"/>
        <v>45943.586111111115</v>
      </c>
      <c r="E220" s="5">
        <v>45943.634722222225</v>
      </c>
      <c r="F220" s="6">
        <f t="shared" si="4"/>
        <v>1.167</v>
      </c>
      <c r="G220" s="1" t="str">
        <f t="shared" si="5"/>
        <v>1h 10min</v>
      </c>
      <c r="H220" s="6">
        <v>0</v>
      </c>
      <c r="I220" s="6">
        <v>0</v>
      </c>
      <c r="J220" s="1" t="s">
        <v>155</v>
      </c>
      <c r="K220" s="1" t="s">
        <v>22</v>
      </c>
      <c r="L220" s="6">
        <f>Tableau1[[#This Row],[Tarif horaire]]*Tableau1[[#This Row],[Durée]]</f>
        <v>0</v>
      </c>
      <c r="M220" s="6"/>
      <c r="N220" s="6"/>
      <c r="O220" s="6"/>
      <c r="P220" s="6" t="str">
        <f>IF(OR(Tableau1[[#This Row],[Projet ou client]]="Léane",Tableau1[[#This Row],[Projet ou client]]="Valentine",Tableau1[[#This Row],[Projet ou client]]="Léon",Tableau1[[#This Row],[Projet ou client]]="Camille"),"Cours particuliers","Autre")</f>
        <v>Autre</v>
      </c>
    </row>
    <row r="221" spans="1:16">
      <c r="A221" s="1" t="s">
        <v>78</v>
      </c>
      <c r="B221" s="4">
        <v>45943.635416666672</v>
      </c>
      <c r="C221" s="40">
        <f>Tableau1[[#This Row],[Date de début]]</f>
        <v>45943.635416666672</v>
      </c>
      <c r="D221" s="5">
        <f t="shared" ref="D221:D252" si="6">C221</f>
        <v>45943.635416666672</v>
      </c>
      <c r="E221" s="5">
        <v>45943.638888888891</v>
      </c>
      <c r="F221" s="6">
        <f t="shared" ref="F221:F252" si="7">MAX(ROUND((E221-C221)*24,3)-N221,0)</f>
        <v>8.3000000000000004E-2</v>
      </c>
      <c r="G221" s="1" t="str">
        <f t="shared" ref="G221:G252" si="8">IF(FLOOR(TRUNC(F221),1)&gt;0,FLOOR(TRUNC(F221),1)&amp;"h "&amp;FLOOR(ROUND((F221-FLOOR(TRUNC(F221),1))*60,0),1)&amp;"min",FLOOR(ROUND((F221-FLOOR(TRUNC(F221),1))*60,0),1)&amp;"m")</f>
        <v>5m</v>
      </c>
      <c r="H221" s="6">
        <v>0</v>
      </c>
      <c r="I221" s="6">
        <v>0</v>
      </c>
      <c r="J221" s="1" t="s">
        <v>2</v>
      </c>
      <c r="K221" s="1" t="s">
        <v>22</v>
      </c>
      <c r="L221" s="6">
        <f>Tableau1[[#This Row],[Tarif horaire]]*Tableau1[[#This Row],[Durée]]</f>
        <v>0</v>
      </c>
      <c r="M221" s="6"/>
      <c r="N221" s="6"/>
      <c r="O221" s="6"/>
      <c r="P221" s="6" t="str">
        <f>IF(OR(Tableau1[[#This Row],[Projet ou client]]="Léane",Tableau1[[#This Row],[Projet ou client]]="Valentine",Tableau1[[#This Row],[Projet ou client]]="Léon",Tableau1[[#This Row],[Projet ou client]]="Camille"),"Cours particuliers","Autre")</f>
        <v>Autre</v>
      </c>
    </row>
    <row r="222" spans="1:16">
      <c r="A222" s="1" t="s">
        <v>78</v>
      </c>
      <c r="B222" s="4">
        <v>45943.639583333337</v>
      </c>
      <c r="C222" s="40">
        <f>Tableau1[[#This Row],[Date de début]]</f>
        <v>45943.639583333337</v>
      </c>
      <c r="D222" s="5">
        <f t="shared" si="6"/>
        <v>45943.639583333337</v>
      </c>
      <c r="E222" s="5">
        <v>45943.64444444445</v>
      </c>
      <c r="F222" s="6">
        <f t="shared" si="7"/>
        <v>0.11700000000000001</v>
      </c>
      <c r="G222" s="1" t="str">
        <f t="shared" si="8"/>
        <v>7m</v>
      </c>
      <c r="H222" s="6">
        <v>0</v>
      </c>
      <c r="I222" s="6">
        <v>0</v>
      </c>
      <c r="J222" s="1" t="s">
        <v>2</v>
      </c>
      <c r="K222" s="1" t="s">
        <v>22</v>
      </c>
      <c r="L222" s="6">
        <f>Tableau1[[#This Row],[Tarif horaire]]*Tableau1[[#This Row],[Durée]]</f>
        <v>0</v>
      </c>
      <c r="M222" s="6"/>
      <c r="N222" s="6"/>
      <c r="O222" s="6"/>
      <c r="P222" s="6" t="str">
        <f>IF(OR(Tableau1[[#This Row],[Projet ou client]]="Léane",Tableau1[[#This Row],[Projet ou client]]="Valentine",Tableau1[[#This Row],[Projet ou client]]="Léon",Tableau1[[#This Row],[Projet ou client]]="Camille"),"Cours particuliers","Autre")</f>
        <v>Autre</v>
      </c>
    </row>
    <row r="223" spans="1:16" ht="28.9">
      <c r="A223" s="1" t="s">
        <v>31</v>
      </c>
      <c r="B223" s="4">
        <v>45943.64444444445</v>
      </c>
      <c r="C223" s="40">
        <f>Tableau1[[#This Row],[Date de début]]</f>
        <v>45943.64444444445</v>
      </c>
      <c r="D223" s="5">
        <f t="shared" si="6"/>
        <v>45943.64444444445</v>
      </c>
      <c r="E223" s="5">
        <v>45943.709722222222</v>
      </c>
      <c r="F223" s="6">
        <f t="shared" si="7"/>
        <v>1.5669999999999999</v>
      </c>
      <c r="G223" s="1" t="str">
        <f t="shared" si="8"/>
        <v>1h 34min</v>
      </c>
      <c r="H223" s="6">
        <v>0</v>
      </c>
      <c r="I223" s="6">
        <v>0</v>
      </c>
      <c r="J223" s="1" t="s">
        <v>2</v>
      </c>
      <c r="K223" s="1" t="s">
        <v>22</v>
      </c>
      <c r="L223" s="6">
        <f>Tableau1[[#This Row],[Tarif horaire]]*Tableau1[[#This Row],[Durée]]</f>
        <v>0</v>
      </c>
      <c r="M223" s="6"/>
      <c r="N223" s="6"/>
      <c r="O223" s="6"/>
      <c r="P223" s="6" t="str">
        <f>IF(OR(Tableau1[[#This Row],[Projet ou client]]="Léane",Tableau1[[#This Row],[Projet ou client]]="Valentine",Tableau1[[#This Row],[Projet ou client]]="Léon",Tableau1[[#This Row],[Projet ou client]]="Camille"),"Cours particuliers","Autre")</f>
        <v>Autre</v>
      </c>
    </row>
    <row r="224" spans="1:16" ht="28.9">
      <c r="A224" s="1" t="s">
        <v>152</v>
      </c>
      <c r="B224" s="4">
        <v>45943.804166666669</v>
      </c>
      <c r="C224" s="40">
        <f>Tableau1[[#This Row],[Date de début]]</f>
        <v>45943.804166666669</v>
      </c>
      <c r="D224" s="5">
        <f t="shared" si="6"/>
        <v>45943.804166666669</v>
      </c>
      <c r="E224" s="5">
        <v>45943.829166666663</v>
      </c>
      <c r="F224" s="6">
        <f t="shared" si="7"/>
        <v>0.6</v>
      </c>
      <c r="G224" s="1" t="str">
        <f t="shared" si="8"/>
        <v>36m</v>
      </c>
      <c r="H224" s="6">
        <v>0</v>
      </c>
      <c r="I224" s="6">
        <v>0</v>
      </c>
      <c r="J224" s="1" t="s">
        <v>156</v>
      </c>
      <c r="K224" s="1" t="s">
        <v>22</v>
      </c>
      <c r="L224" s="6">
        <f>Tableau1[[#This Row],[Tarif horaire]]*Tableau1[[#This Row],[Durée]]</f>
        <v>0</v>
      </c>
      <c r="M224" s="6"/>
      <c r="N224" s="6"/>
      <c r="O224" s="6"/>
      <c r="P224" s="6" t="str">
        <f>IF(OR(Tableau1[[#This Row],[Projet ou client]]="Léane",Tableau1[[#This Row],[Projet ou client]]="Valentine",Tableau1[[#This Row],[Projet ou client]]="Léon",Tableau1[[#This Row],[Projet ou client]]="Camille"),"Cours particuliers","Autre")</f>
        <v>Autre</v>
      </c>
    </row>
    <row r="225" spans="1:16" ht="28.9">
      <c r="A225" s="1" t="s">
        <v>31</v>
      </c>
      <c r="B225" s="4">
        <v>45944.335416666669</v>
      </c>
      <c r="C225" s="40">
        <f>Tableau1[[#This Row],[Date de début]]</f>
        <v>45944.335416666669</v>
      </c>
      <c r="D225" s="5">
        <f t="shared" si="6"/>
        <v>45944.335416666669</v>
      </c>
      <c r="E225" s="5">
        <v>45944.397916666669</v>
      </c>
      <c r="F225" s="6">
        <f t="shared" si="7"/>
        <v>1.5</v>
      </c>
      <c r="G225" s="1" t="str">
        <f t="shared" si="8"/>
        <v>1h 30min</v>
      </c>
      <c r="H225" s="6">
        <v>0</v>
      </c>
      <c r="I225" s="6">
        <v>0</v>
      </c>
      <c r="J225" s="1" t="s">
        <v>2</v>
      </c>
      <c r="K225" s="1" t="s">
        <v>22</v>
      </c>
      <c r="L225" s="6">
        <f>Tableau1[[#This Row],[Tarif horaire]]*Tableau1[[#This Row],[Durée]]</f>
        <v>0</v>
      </c>
      <c r="M225" s="6"/>
      <c r="N225" s="6"/>
      <c r="O225" s="6"/>
      <c r="P225" s="6" t="str">
        <f>IF(OR(Tableau1[[#This Row],[Projet ou client]]="Léane",Tableau1[[#This Row],[Projet ou client]]="Valentine",Tableau1[[#This Row],[Projet ou client]]="Léon",Tableau1[[#This Row],[Projet ou client]]="Camille"),"Cours particuliers","Autre")</f>
        <v>Autre</v>
      </c>
    </row>
    <row r="226" spans="1:16">
      <c r="A226" s="1" t="s">
        <v>104</v>
      </c>
      <c r="B226" s="4">
        <v>45944.41805555555</v>
      </c>
      <c r="C226" s="40">
        <f>Tableau1[[#This Row],[Date de début]]</f>
        <v>45944.41805555555</v>
      </c>
      <c r="D226" s="5">
        <f t="shared" si="6"/>
        <v>45944.41805555555</v>
      </c>
      <c r="E226" s="5">
        <v>45944.682638888888</v>
      </c>
      <c r="F226" s="6">
        <f t="shared" si="7"/>
        <v>6.35</v>
      </c>
      <c r="G226" s="1" t="str">
        <f t="shared" si="8"/>
        <v>6h 21min</v>
      </c>
      <c r="H226" s="6">
        <v>0</v>
      </c>
      <c r="I226" s="6">
        <v>0</v>
      </c>
      <c r="J226" s="1" t="s">
        <v>2</v>
      </c>
      <c r="K226" s="1" t="s">
        <v>22</v>
      </c>
      <c r="L226" s="6">
        <f>Tableau1[[#This Row],[Tarif horaire]]*Tableau1[[#This Row],[Durée]]</f>
        <v>0</v>
      </c>
      <c r="M226" s="6"/>
      <c r="N226" s="6"/>
      <c r="O226" s="6"/>
      <c r="P226" s="6" t="str">
        <f>IF(OR(Tableau1[[#This Row],[Projet ou client]]="Léane",Tableau1[[#This Row],[Projet ou client]]="Valentine",Tableau1[[#This Row],[Projet ou client]]="Léon",Tableau1[[#This Row],[Projet ou client]]="Camille"),"Cours particuliers","Autre")</f>
        <v>Autre</v>
      </c>
    </row>
    <row r="227" spans="1:16">
      <c r="A227" s="1" t="s">
        <v>123</v>
      </c>
      <c r="B227" s="4">
        <v>45944.72152777778</v>
      </c>
      <c r="C227" s="40">
        <f>Tableau1[[#This Row],[Date de début]]</f>
        <v>45944.72152777778</v>
      </c>
      <c r="D227" s="5">
        <f t="shared" si="6"/>
        <v>45944.72152777778</v>
      </c>
      <c r="E227" s="5">
        <v>45944.741666666669</v>
      </c>
      <c r="F227" s="6">
        <f t="shared" si="7"/>
        <v>0.48299999999999998</v>
      </c>
      <c r="G227" s="1" t="str">
        <f t="shared" si="8"/>
        <v>29m</v>
      </c>
      <c r="H227" s="6">
        <v>0</v>
      </c>
      <c r="I227" s="6">
        <v>0</v>
      </c>
      <c r="J227" s="1" t="s">
        <v>2</v>
      </c>
      <c r="K227" s="1" t="s">
        <v>22</v>
      </c>
      <c r="L227" s="6">
        <f>Tableau1[[#This Row],[Tarif horaire]]*Tableau1[[#This Row],[Durée]]</f>
        <v>0</v>
      </c>
      <c r="M227" s="6"/>
      <c r="N227" s="6"/>
      <c r="O227" s="6"/>
      <c r="P227" s="6" t="str">
        <f>IF(OR(Tableau1[[#This Row],[Projet ou client]]="Léane",Tableau1[[#This Row],[Projet ou client]]="Valentine",Tableau1[[#This Row],[Projet ou client]]="Léon",Tableau1[[#This Row],[Projet ou client]]="Camille"),"Cours particuliers","Autre")</f>
        <v>Autre</v>
      </c>
    </row>
    <row r="228" spans="1:16" ht="28.9">
      <c r="A228" s="1" t="s">
        <v>31</v>
      </c>
      <c r="B228" s="4">
        <v>45944.743055555555</v>
      </c>
      <c r="C228" s="40">
        <f>Tableau1[[#This Row],[Date de début]]</f>
        <v>45944.743055555555</v>
      </c>
      <c r="D228" s="5">
        <f t="shared" si="6"/>
        <v>45944.743055555555</v>
      </c>
      <c r="E228" s="5">
        <v>45944.770138888889</v>
      </c>
      <c r="F228" s="6">
        <f t="shared" si="7"/>
        <v>0.65</v>
      </c>
      <c r="G228" s="1" t="str">
        <f t="shared" si="8"/>
        <v>39m</v>
      </c>
      <c r="H228" s="6">
        <v>0</v>
      </c>
      <c r="I228" s="6">
        <v>0</v>
      </c>
      <c r="J228" s="1" t="s">
        <v>2</v>
      </c>
      <c r="K228" s="1" t="s">
        <v>22</v>
      </c>
      <c r="L228" s="6">
        <f>Tableau1[[#This Row],[Tarif horaire]]*Tableau1[[#This Row],[Durée]]</f>
        <v>0</v>
      </c>
      <c r="M228" s="6"/>
      <c r="N228" s="6"/>
      <c r="O228" s="6"/>
      <c r="P228" s="6" t="str">
        <f>IF(OR(Tableau1[[#This Row],[Projet ou client]]="Léane",Tableau1[[#This Row],[Projet ou client]]="Valentine",Tableau1[[#This Row],[Projet ou client]]="Léon",Tableau1[[#This Row],[Projet ou client]]="Camille"),"Cours particuliers","Autre")</f>
        <v>Autre</v>
      </c>
    </row>
    <row r="229" spans="1:16">
      <c r="A229" s="1" t="s">
        <v>152</v>
      </c>
      <c r="B229" s="4">
        <v>45944.773611111115</v>
      </c>
      <c r="C229" s="40">
        <f>Tableau1[[#This Row],[Date de début]]</f>
        <v>45944.773611111115</v>
      </c>
      <c r="D229" s="5">
        <f t="shared" si="6"/>
        <v>45944.773611111115</v>
      </c>
      <c r="E229" s="5">
        <v>45944.834722222222</v>
      </c>
      <c r="F229" s="6">
        <f t="shared" si="7"/>
        <v>1.4670000000000001</v>
      </c>
      <c r="G229" s="1" t="str">
        <f t="shared" si="8"/>
        <v>1h 28min</v>
      </c>
      <c r="H229" s="6">
        <v>0</v>
      </c>
      <c r="I229" s="6">
        <v>0</v>
      </c>
      <c r="J229" s="1" t="s">
        <v>157</v>
      </c>
      <c r="K229" s="1" t="s">
        <v>22</v>
      </c>
      <c r="L229" s="6">
        <f>Tableau1[[#This Row],[Tarif horaire]]*Tableau1[[#This Row],[Durée]]</f>
        <v>0</v>
      </c>
      <c r="M229" s="6"/>
      <c r="N229" s="6"/>
      <c r="O229" s="6"/>
      <c r="P229" s="6" t="str">
        <f>IF(OR(Tableau1[[#This Row],[Projet ou client]]="Léane",Tableau1[[#This Row],[Projet ou client]]="Valentine",Tableau1[[#This Row],[Projet ou client]]="Léon",Tableau1[[#This Row],[Projet ou client]]="Camille"),"Cours particuliers","Autre")</f>
        <v>Autre</v>
      </c>
    </row>
    <row r="230" spans="1:16">
      <c r="A230" s="1" t="s">
        <v>104</v>
      </c>
      <c r="B230" s="4">
        <v>45945.333333333328</v>
      </c>
      <c r="C230" s="40">
        <f>Tableau1[[#This Row],[Date de début]]</f>
        <v>45945.333333333328</v>
      </c>
      <c r="D230" s="5">
        <f t="shared" si="6"/>
        <v>45945.333333333328</v>
      </c>
      <c r="E230" s="5">
        <v>45945.4375</v>
      </c>
      <c r="F230" s="6">
        <f t="shared" si="7"/>
        <v>2.5</v>
      </c>
      <c r="G230" s="1" t="str">
        <f t="shared" si="8"/>
        <v>2h 30min</v>
      </c>
      <c r="H230" s="6">
        <v>0</v>
      </c>
      <c r="I230" s="6">
        <v>0</v>
      </c>
      <c r="J230" s="1" t="s">
        <v>2</v>
      </c>
      <c r="K230" s="1" t="s">
        <v>22</v>
      </c>
      <c r="L230" s="6">
        <f>Tableau1[[#This Row],[Tarif horaire]]*Tableau1[[#This Row],[Durée]]</f>
        <v>0</v>
      </c>
      <c r="M230" s="6"/>
      <c r="N230" s="6"/>
      <c r="O230" s="6"/>
      <c r="P230" s="6" t="str">
        <f>IF(OR(Tableau1[[#This Row],[Projet ou client]]="Léane",Tableau1[[#This Row],[Projet ou client]]="Valentine",Tableau1[[#This Row],[Projet ou client]]="Léon",Tableau1[[#This Row],[Projet ou client]]="Camille"),"Cours particuliers","Autre")</f>
        <v>Autre</v>
      </c>
    </row>
    <row r="231" spans="1:16">
      <c r="A231" s="1" t="s">
        <v>152</v>
      </c>
      <c r="B231" s="4">
        <v>45945.468055555553</v>
      </c>
      <c r="C231" s="40">
        <f>Tableau1[[#This Row],[Date de début]]</f>
        <v>45945.468055555553</v>
      </c>
      <c r="D231" s="5">
        <f t="shared" si="6"/>
        <v>45945.468055555553</v>
      </c>
      <c r="E231" s="5">
        <v>45945.500694444447</v>
      </c>
      <c r="F231" s="6">
        <f t="shared" si="7"/>
        <v>0.78300000000000003</v>
      </c>
      <c r="G231" s="1" t="str">
        <f t="shared" si="8"/>
        <v>47m</v>
      </c>
      <c r="H231" s="6">
        <v>0</v>
      </c>
      <c r="I231" s="6">
        <v>0</v>
      </c>
      <c r="J231" s="1" t="s">
        <v>158</v>
      </c>
      <c r="K231" s="1" t="s">
        <v>22</v>
      </c>
      <c r="L231" s="6">
        <f>Tableau1[[#This Row],[Tarif horaire]]*Tableau1[[#This Row],[Durée]]</f>
        <v>0</v>
      </c>
      <c r="M231" s="6"/>
      <c r="N231" s="6"/>
      <c r="O231" s="6"/>
      <c r="P231" s="6" t="str">
        <f>IF(OR(Tableau1[[#This Row],[Projet ou client]]="Léane",Tableau1[[#This Row],[Projet ou client]]="Valentine",Tableau1[[#This Row],[Projet ou client]]="Léon",Tableau1[[#This Row],[Projet ou client]]="Camille"),"Cours particuliers","Autre")</f>
        <v>Autre</v>
      </c>
    </row>
    <row r="232" spans="1:16">
      <c r="A232" s="1" t="s">
        <v>159</v>
      </c>
      <c r="B232" s="4">
        <v>45945.547916666663</v>
      </c>
      <c r="C232" s="40">
        <f>Tableau1[[#This Row],[Date de début]]</f>
        <v>45945.547916666663</v>
      </c>
      <c r="D232" s="5">
        <f t="shared" si="6"/>
        <v>45945.547916666663</v>
      </c>
      <c r="E232" s="5">
        <v>45945.616666666669</v>
      </c>
      <c r="F232" s="6">
        <f t="shared" si="7"/>
        <v>1.65</v>
      </c>
      <c r="G232" s="1" t="str">
        <f t="shared" si="8"/>
        <v>1h 39min</v>
      </c>
      <c r="H232" s="6">
        <v>40</v>
      </c>
      <c r="I232" s="6">
        <v>0</v>
      </c>
      <c r="J232" s="1" t="s">
        <v>2</v>
      </c>
      <c r="K232" s="1" t="s">
        <v>22</v>
      </c>
      <c r="L232" s="6">
        <f>Tableau1[[#This Row],[Tarif horaire]]*Tableau1[[#This Row],[Durée]]</f>
        <v>66</v>
      </c>
      <c r="M232" s="6"/>
      <c r="N232" s="6"/>
      <c r="O232" s="6"/>
      <c r="P232" s="6" t="str">
        <f>IF(OR(Tableau1[[#This Row],[Projet ou client]]="Léane",Tableau1[[#This Row],[Projet ou client]]="Valentine",Tableau1[[#This Row],[Projet ou client]]="Léon",Tableau1[[#This Row],[Projet ou client]]="Camille"),"Cours particuliers","Autre")</f>
        <v>Cours particuliers</v>
      </c>
    </row>
    <row r="233" spans="1:16">
      <c r="A233" s="1" t="s">
        <v>127</v>
      </c>
      <c r="B233" s="4">
        <v>45945.678472222222</v>
      </c>
      <c r="C233" s="40">
        <f>Tableau1[[#This Row],[Date de début]]</f>
        <v>45945.678472222222</v>
      </c>
      <c r="D233" s="5">
        <f t="shared" si="6"/>
        <v>45945.678472222222</v>
      </c>
      <c r="E233" s="5">
        <v>45945.741666666669</v>
      </c>
      <c r="F233" s="6">
        <f t="shared" si="7"/>
        <v>1.5169999999999999</v>
      </c>
      <c r="G233" s="1" t="str">
        <f t="shared" si="8"/>
        <v>1h 31min</v>
      </c>
      <c r="H233" s="6">
        <v>40</v>
      </c>
      <c r="I233" s="6">
        <v>0</v>
      </c>
      <c r="J233" s="1" t="s">
        <v>2</v>
      </c>
      <c r="K233" s="1" t="s">
        <v>22</v>
      </c>
      <c r="L233" s="6">
        <f>Tableau1[[#This Row],[Tarif horaire]]*Tableau1[[#This Row],[Durée]]</f>
        <v>60.679999999999993</v>
      </c>
      <c r="M233" s="6"/>
      <c r="N233" s="6"/>
      <c r="O233" s="6"/>
      <c r="P233" s="6" t="str">
        <f>IF(OR(Tableau1[[#This Row],[Projet ou client]]="Léane",Tableau1[[#This Row],[Projet ou client]]="Valentine",Tableau1[[#This Row],[Projet ou client]]="Léon",Tableau1[[#This Row],[Projet ou client]]="Camille"),"Cours particuliers","Autre")</f>
        <v>Cours particuliers</v>
      </c>
    </row>
    <row r="234" spans="1:16" ht="28.9">
      <c r="A234" s="1" t="s">
        <v>50</v>
      </c>
      <c r="B234" s="4">
        <v>45946.258333333331</v>
      </c>
      <c r="C234" s="40">
        <f>Tableau1[[#This Row],[Date de début]]</f>
        <v>45946.258333333331</v>
      </c>
      <c r="D234" s="5">
        <f t="shared" si="6"/>
        <v>45946.258333333331</v>
      </c>
      <c r="E234" s="5">
        <v>45946.288194444445</v>
      </c>
      <c r="F234" s="6">
        <f t="shared" si="7"/>
        <v>0.71699999999999997</v>
      </c>
      <c r="G234" s="1" t="str">
        <f t="shared" si="8"/>
        <v>43m</v>
      </c>
      <c r="H234" s="6">
        <v>0</v>
      </c>
      <c r="I234" s="6">
        <v>0</v>
      </c>
      <c r="J234" s="1" t="s">
        <v>2</v>
      </c>
      <c r="K234" s="1" t="s">
        <v>22</v>
      </c>
      <c r="L234" s="6">
        <f>Tableau1[[#This Row],[Tarif horaire]]*Tableau1[[#This Row],[Durée]]</f>
        <v>0</v>
      </c>
      <c r="M234" s="6"/>
      <c r="N234" s="6"/>
      <c r="O234" s="6"/>
      <c r="P234" s="6" t="str">
        <f>IF(OR(Tableau1[[#This Row],[Projet ou client]]="Léane",Tableau1[[#This Row],[Projet ou client]]="Valentine",Tableau1[[#This Row],[Projet ou client]]="Léon",Tableau1[[#This Row],[Projet ou client]]="Camille"),"Cours particuliers","Autre")</f>
        <v>Autre</v>
      </c>
    </row>
    <row r="235" spans="1:16">
      <c r="A235" s="1" t="s">
        <v>25</v>
      </c>
      <c r="B235" s="4">
        <v>45946.288888888885</v>
      </c>
      <c r="C235" s="40">
        <f>Tableau1[[#This Row],[Date de début]]</f>
        <v>45946.288888888885</v>
      </c>
      <c r="D235" s="5">
        <f t="shared" si="6"/>
        <v>45946.288888888885</v>
      </c>
      <c r="E235" s="5">
        <v>45946.297222222223</v>
      </c>
      <c r="F235" s="6">
        <f t="shared" si="7"/>
        <v>0.2</v>
      </c>
      <c r="G235" s="1" t="str">
        <f t="shared" si="8"/>
        <v>12m</v>
      </c>
      <c r="H235" s="6">
        <v>0</v>
      </c>
      <c r="I235" s="6">
        <v>0</v>
      </c>
      <c r="J235" s="1" t="s">
        <v>2</v>
      </c>
      <c r="K235" s="1" t="s">
        <v>22</v>
      </c>
      <c r="L235" s="6">
        <f>Tableau1[[#This Row],[Tarif horaire]]*Tableau1[[#This Row],[Durée]]</f>
        <v>0</v>
      </c>
      <c r="M235" s="6"/>
      <c r="N235" s="6"/>
      <c r="O235" s="6"/>
      <c r="P235" s="6" t="str">
        <f>IF(OR(Tableau1[[#This Row],[Projet ou client]]="Léane",Tableau1[[#This Row],[Projet ou client]]="Valentine",Tableau1[[#This Row],[Projet ou client]]="Léon",Tableau1[[#This Row],[Projet ou client]]="Camille"),"Cours particuliers","Autre")</f>
        <v>Autre</v>
      </c>
    </row>
    <row r="236" spans="1:16">
      <c r="A236" s="1" t="s">
        <v>25</v>
      </c>
      <c r="B236" s="4">
        <v>45946.341666666667</v>
      </c>
      <c r="C236" s="40">
        <f>Tableau1[[#This Row],[Date de début]]</f>
        <v>45946.341666666667</v>
      </c>
      <c r="D236" s="5">
        <f t="shared" si="6"/>
        <v>45946.341666666667</v>
      </c>
      <c r="E236" s="5">
        <v>45946.539583333331</v>
      </c>
      <c r="F236" s="6">
        <f t="shared" si="7"/>
        <v>4.75</v>
      </c>
      <c r="G236" s="1" t="str">
        <f t="shared" si="8"/>
        <v>4h 45min</v>
      </c>
      <c r="H236" s="6">
        <v>0</v>
      </c>
      <c r="I236" s="6">
        <v>0</v>
      </c>
      <c r="J236" s="1" t="s">
        <v>2</v>
      </c>
      <c r="K236" s="1" t="s">
        <v>22</v>
      </c>
      <c r="L236" s="6">
        <f>Tableau1[[#This Row],[Tarif horaire]]*Tableau1[[#This Row],[Durée]]</f>
        <v>0</v>
      </c>
      <c r="M236" s="6"/>
      <c r="N236" s="6"/>
      <c r="O236" s="6"/>
      <c r="P236" s="6" t="str">
        <f>IF(OR(Tableau1[[#This Row],[Projet ou client]]="Léane",Tableau1[[#This Row],[Projet ou client]]="Valentine",Tableau1[[#This Row],[Projet ou client]]="Léon",Tableau1[[#This Row],[Projet ou client]]="Camille"),"Cours particuliers","Autre")</f>
        <v>Autre</v>
      </c>
    </row>
    <row r="237" spans="1:16">
      <c r="A237" s="1" t="s">
        <v>71</v>
      </c>
      <c r="B237" s="4">
        <v>45946.60555555555</v>
      </c>
      <c r="C237" s="40">
        <f>Tableau1[[#This Row],[Date de début]]</f>
        <v>45946.60555555555</v>
      </c>
      <c r="D237" s="5">
        <f t="shared" si="6"/>
        <v>45946.60555555555</v>
      </c>
      <c r="E237" s="5">
        <v>45946.66805555555</v>
      </c>
      <c r="F237" s="6">
        <f t="shared" si="7"/>
        <v>1.5</v>
      </c>
      <c r="G237" s="1" t="str">
        <f t="shared" si="8"/>
        <v>1h 30min</v>
      </c>
      <c r="H237" s="6">
        <v>40</v>
      </c>
      <c r="I237" s="6">
        <v>0</v>
      </c>
      <c r="J237" s="1" t="s">
        <v>2</v>
      </c>
      <c r="K237" s="1" t="s">
        <v>22</v>
      </c>
      <c r="L237" s="6">
        <f>Tableau1[[#This Row],[Tarif horaire]]*Tableau1[[#This Row],[Durée]]</f>
        <v>60</v>
      </c>
      <c r="M237" s="6"/>
      <c r="N237" s="6"/>
      <c r="O237" s="6"/>
      <c r="P237" s="6" t="str">
        <f>IF(OR(Tableau1[[#This Row],[Projet ou client]]="Léane",Tableau1[[#This Row],[Projet ou client]]="Valentine",Tableau1[[#This Row],[Projet ou client]]="Léon",Tableau1[[#This Row],[Projet ou client]]="Camille"),"Cours particuliers","Autre")</f>
        <v>Cours particuliers</v>
      </c>
    </row>
    <row r="238" spans="1:16">
      <c r="A238" s="1" t="s">
        <v>110</v>
      </c>
      <c r="B238" s="4">
        <v>45946.684027777781</v>
      </c>
      <c r="C238" s="40">
        <f>Tableau1[[#This Row],[Date de début]]</f>
        <v>45946.684027777781</v>
      </c>
      <c r="D238" s="5">
        <f t="shared" si="6"/>
        <v>45946.684027777781</v>
      </c>
      <c r="E238" s="5">
        <v>45946.735416666663</v>
      </c>
      <c r="F238" s="6">
        <f t="shared" si="7"/>
        <v>1.2330000000000001</v>
      </c>
      <c r="G238" s="1" t="str">
        <f t="shared" si="8"/>
        <v>1h 14min</v>
      </c>
      <c r="H238" s="6">
        <v>35</v>
      </c>
      <c r="I238" s="6">
        <v>0</v>
      </c>
      <c r="J238" s="1" t="s">
        <v>2</v>
      </c>
      <c r="K238" s="1" t="s">
        <v>22</v>
      </c>
      <c r="L238" s="6">
        <f>Tableau1[[#This Row],[Tarif horaire]]*Tableau1[[#This Row],[Durée]]</f>
        <v>43.155000000000001</v>
      </c>
      <c r="M238" s="6"/>
      <c r="N238" s="6"/>
      <c r="O238" s="6"/>
      <c r="P238" s="6" t="str">
        <f>IF(OR(Tableau1[[#This Row],[Projet ou client]]="Léane",Tableau1[[#This Row],[Projet ou client]]="Valentine",Tableau1[[#This Row],[Projet ou client]]="Léon",Tableau1[[#This Row],[Projet ou client]]="Camille"),"Cours particuliers","Autre")</f>
        <v>Cours particuliers</v>
      </c>
    </row>
    <row r="239" spans="1:16">
      <c r="A239" s="1" t="s">
        <v>152</v>
      </c>
      <c r="B239" s="4">
        <v>45946.786805555559</v>
      </c>
      <c r="C239" s="40">
        <f>Tableau1[[#This Row],[Date de début]]</f>
        <v>45946.786805555559</v>
      </c>
      <c r="D239" s="5">
        <f t="shared" si="6"/>
        <v>45946.786805555559</v>
      </c>
      <c r="E239" s="5">
        <v>45946.824999999997</v>
      </c>
      <c r="F239" s="6">
        <f t="shared" si="7"/>
        <v>0.91700000000000004</v>
      </c>
      <c r="G239" s="1" t="str">
        <f t="shared" si="8"/>
        <v>55m</v>
      </c>
      <c r="H239" s="6">
        <v>0</v>
      </c>
      <c r="I239" s="6">
        <v>0</v>
      </c>
      <c r="J239" s="1" t="s">
        <v>2</v>
      </c>
      <c r="K239" s="1" t="s">
        <v>22</v>
      </c>
      <c r="L239" s="6">
        <f>Tableau1[[#This Row],[Tarif horaire]]*Tableau1[[#This Row],[Durée]]</f>
        <v>0</v>
      </c>
      <c r="M239" s="6"/>
      <c r="N239" s="6"/>
      <c r="O239" s="6"/>
      <c r="P239" s="6" t="str">
        <f>IF(OR(Tableau1[[#This Row],[Projet ou client]]="Léane",Tableau1[[#This Row],[Projet ou client]]="Valentine",Tableau1[[#This Row],[Projet ou client]]="Léon",Tableau1[[#This Row],[Projet ou client]]="Camille"),"Cours particuliers","Autre")</f>
        <v>Autre</v>
      </c>
    </row>
    <row r="240" spans="1:16">
      <c r="A240" s="1" t="s">
        <v>152</v>
      </c>
      <c r="B240" s="4">
        <v>45947.255555555559</v>
      </c>
      <c r="C240" s="40">
        <f>Tableau1[[#This Row],[Date de début]]</f>
        <v>45947.255555555559</v>
      </c>
      <c r="D240" s="5">
        <f t="shared" si="6"/>
        <v>45947.255555555559</v>
      </c>
      <c r="E240" s="5">
        <v>45947.304166666669</v>
      </c>
      <c r="F240" s="6">
        <f t="shared" si="7"/>
        <v>1.167</v>
      </c>
      <c r="G240" s="1" t="str">
        <f t="shared" si="8"/>
        <v>1h 10min</v>
      </c>
      <c r="H240" s="6">
        <v>0</v>
      </c>
      <c r="I240" s="6">
        <v>0</v>
      </c>
      <c r="J240" s="1" t="s">
        <v>2</v>
      </c>
      <c r="K240" s="1" t="s">
        <v>22</v>
      </c>
      <c r="L240" s="6">
        <f>Tableau1[[#This Row],[Tarif horaire]]*Tableau1[[#This Row],[Durée]]</f>
        <v>0</v>
      </c>
      <c r="M240" s="6"/>
      <c r="N240" s="6"/>
      <c r="O240" s="6"/>
      <c r="P240" s="6" t="str">
        <f>IF(OR(Tableau1[[#This Row],[Projet ou client]]="Léane",Tableau1[[#This Row],[Projet ou client]]="Valentine",Tableau1[[#This Row],[Projet ou client]]="Léon",Tableau1[[#This Row],[Projet ou client]]="Camille"),"Cours particuliers","Autre")</f>
        <v>Autre</v>
      </c>
    </row>
    <row r="241" spans="1:16">
      <c r="A241" s="1" t="s">
        <v>104</v>
      </c>
      <c r="B241" s="4">
        <v>45947.330555555556</v>
      </c>
      <c r="C241" s="40">
        <f>Tableau1[[#This Row],[Date de début]]</f>
        <v>45947.330555555556</v>
      </c>
      <c r="D241" s="5">
        <f t="shared" si="6"/>
        <v>45947.330555555556</v>
      </c>
      <c r="E241" s="5">
        <v>45947.479166666672</v>
      </c>
      <c r="F241" s="6">
        <f t="shared" si="7"/>
        <v>3.5670000000000002</v>
      </c>
      <c r="G241" s="1" t="str">
        <f t="shared" si="8"/>
        <v>3h 34min</v>
      </c>
      <c r="H241" s="6">
        <v>0</v>
      </c>
      <c r="I241" s="6">
        <v>0</v>
      </c>
      <c r="J241" s="1" t="s">
        <v>2</v>
      </c>
      <c r="K241" s="1" t="s">
        <v>22</v>
      </c>
      <c r="L241" s="6">
        <f>Tableau1[[#This Row],[Tarif horaire]]*Tableau1[[#This Row],[Durée]]</f>
        <v>0</v>
      </c>
      <c r="M241" s="6"/>
      <c r="N241" s="6"/>
      <c r="O241" s="6"/>
      <c r="P241" s="6" t="str">
        <f>IF(OR(Tableau1[[#This Row],[Projet ou client]]="Léane",Tableau1[[#This Row],[Projet ou client]]="Valentine",Tableau1[[#This Row],[Projet ou client]]="Léon",Tableau1[[#This Row],[Projet ou client]]="Camille"),"Cours particuliers","Autre")</f>
        <v>Autre</v>
      </c>
    </row>
    <row r="242" spans="1:16">
      <c r="A242" s="1" t="s">
        <v>87</v>
      </c>
      <c r="B242" s="4">
        <v>45947.508333333331</v>
      </c>
      <c r="C242" s="40">
        <f>Tableau1[[#This Row],[Date de début]]</f>
        <v>45947.508333333331</v>
      </c>
      <c r="D242" s="5">
        <f t="shared" si="6"/>
        <v>45947.508333333331</v>
      </c>
      <c r="E242" s="5">
        <v>45947.521527777775</v>
      </c>
      <c r="F242" s="6">
        <f t="shared" si="7"/>
        <v>0.317</v>
      </c>
      <c r="G242" s="1" t="str">
        <f t="shared" si="8"/>
        <v>19m</v>
      </c>
      <c r="H242" s="6">
        <v>0</v>
      </c>
      <c r="I242" s="6">
        <v>0</v>
      </c>
      <c r="J242" s="1" t="s">
        <v>2</v>
      </c>
      <c r="K242" s="1" t="s">
        <v>22</v>
      </c>
      <c r="L242" s="6">
        <f>Tableau1[[#This Row],[Tarif horaire]]*Tableau1[[#This Row],[Durée]]</f>
        <v>0</v>
      </c>
      <c r="M242" s="6"/>
      <c r="N242" s="6"/>
      <c r="O242" s="6"/>
      <c r="P242" s="6" t="str">
        <f>IF(OR(Tableau1[[#This Row],[Projet ou client]]="Léane",Tableau1[[#This Row],[Projet ou client]]="Valentine",Tableau1[[#This Row],[Projet ou client]]="Léon",Tableau1[[#This Row],[Projet ou client]]="Camille"),"Cours particuliers","Autre")</f>
        <v>Autre</v>
      </c>
    </row>
    <row r="243" spans="1:16">
      <c r="A243" s="1" t="s">
        <v>160</v>
      </c>
      <c r="B243" s="4">
        <v>45947.576388888891</v>
      </c>
      <c r="C243" s="40">
        <f>Tableau1[[#This Row],[Date de début]]</f>
        <v>45947.576388888891</v>
      </c>
      <c r="D243" s="5">
        <f t="shared" si="6"/>
        <v>45947.576388888891</v>
      </c>
      <c r="E243" s="5">
        <v>45947.60555555555</v>
      </c>
      <c r="F243" s="6">
        <f t="shared" si="7"/>
        <v>0.7</v>
      </c>
      <c r="G243" s="1" t="str">
        <f t="shared" si="8"/>
        <v>42m</v>
      </c>
      <c r="H243" s="6">
        <v>0</v>
      </c>
      <c r="I243" s="6">
        <v>0</v>
      </c>
      <c r="J243" s="1" t="s">
        <v>161</v>
      </c>
      <c r="K243" s="1" t="s">
        <v>22</v>
      </c>
      <c r="L243" s="6">
        <f>Tableau1[[#This Row],[Tarif horaire]]*Tableau1[[#This Row],[Durée]]</f>
        <v>0</v>
      </c>
      <c r="M243" s="6"/>
      <c r="N243" s="6"/>
      <c r="O243" s="6"/>
      <c r="P243" s="6" t="str">
        <f>IF(OR(Tableau1[[#This Row],[Projet ou client]]="Léane",Tableau1[[#This Row],[Projet ou client]]="Valentine",Tableau1[[#This Row],[Projet ou client]]="Léon",Tableau1[[#This Row],[Projet ou client]]="Camille"),"Cours particuliers","Autre")</f>
        <v>Autre</v>
      </c>
    </row>
    <row r="244" spans="1:16">
      <c r="A244" s="1" t="s">
        <v>152</v>
      </c>
      <c r="B244" s="4">
        <v>45947.606944444444</v>
      </c>
      <c r="C244" s="40">
        <f>Tableau1[[#This Row],[Date de début]]</f>
        <v>45947.606944444444</v>
      </c>
      <c r="D244" s="5">
        <f t="shared" si="6"/>
        <v>45947.606944444444</v>
      </c>
      <c r="E244" s="5">
        <v>45947.702083333337</v>
      </c>
      <c r="F244" s="6">
        <f t="shared" si="7"/>
        <v>2.2829999999999999</v>
      </c>
      <c r="G244" s="1" t="str">
        <f t="shared" si="8"/>
        <v>2h 17min</v>
      </c>
      <c r="H244" s="6">
        <v>0</v>
      </c>
      <c r="I244" s="6">
        <v>0</v>
      </c>
      <c r="J244" s="1" t="s">
        <v>162</v>
      </c>
      <c r="K244" s="1" t="s">
        <v>22</v>
      </c>
      <c r="L244" s="6">
        <f>Tableau1[[#This Row],[Tarif horaire]]*Tableau1[[#This Row],[Durée]]</f>
        <v>0</v>
      </c>
      <c r="M244" s="6"/>
      <c r="N244" s="6"/>
      <c r="O244" s="6"/>
      <c r="P244" s="6" t="str">
        <f>IF(OR(Tableau1[[#This Row],[Projet ou client]]="Léane",Tableau1[[#This Row],[Projet ou client]]="Valentine",Tableau1[[#This Row],[Projet ou client]]="Léon",Tableau1[[#This Row],[Projet ou client]]="Camille"),"Cours particuliers","Autre")</f>
        <v>Autre</v>
      </c>
    </row>
    <row r="245" spans="1:16" ht="43.15">
      <c r="A245" s="1" t="s">
        <v>54</v>
      </c>
      <c r="B245" s="4">
        <v>45947.719444444447</v>
      </c>
      <c r="C245" s="40">
        <f>Tableau1[[#This Row],[Date de début]]</f>
        <v>45947.719444444447</v>
      </c>
      <c r="D245" s="5">
        <f t="shared" si="6"/>
        <v>45947.719444444447</v>
      </c>
      <c r="E245" s="5">
        <v>45947.720833333333</v>
      </c>
      <c r="F245" s="6">
        <f t="shared" si="7"/>
        <v>3.3000000000000002E-2</v>
      </c>
      <c r="G245" s="1" t="str">
        <f t="shared" si="8"/>
        <v>2m</v>
      </c>
      <c r="H245" s="6">
        <v>0</v>
      </c>
      <c r="I245" s="6">
        <v>0</v>
      </c>
      <c r="J245" s="1" t="s">
        <v>2</v>
      </c>
      <c r="K245" s="1" t="s">
        <v>22</v>
      </c>
      <c r="L245" s="6">
        <f>Tableau1[[#This Row],[Tarif horaire]]*Tableau1[[#This Row],[Durée]]</f>
        <v>0</v>
      </c>
      <c r="M245" s="6"/>
      <c r="N245" s="6"/>
      <c r="O245" s="6"/>
      <c r="P245" s="6" t="str">
        <f>IF(OR(Tableau1[[#This Row],[Projet ou client]]="Léane",Tableau1[[#This Row],[Projet ou client]]="Valentine",Tableau1[[#This Row],[Projet ou client]]="Léon",Tableau1[[#This Row],[Projet ou client]]="Camille"),"Cours particuliers","Autre")</f>
        <v>Autre</v>
      </c>
    </row>
    <row r="246" spans="1:16">
      <c r="A246" s="1" t="s">
        <v>163</v>
      </c>
      <c r="B246" s="4">
        <v>45948.442361111112</v>
      </c>
      <c r="C246" s="40">
        <f>Tableau1[[#This Row],[Date de début]]</f>
        <v>45948.442361111112</v>
      </c>
      <c r="D246" s="5">
        <f t="shared" si="6"/>
        <v>45948.442361111112</v>
      </c>
      <c r="E246" s="5">
        <v>45948.473611111112</v>
      </c>
      <c r="F246" s="6">
        <f t="shared" si="7"/>
        <v>0.75</v>
      </c>
      <c r="G246" s="1" t="str">
        <f t="shared" si="8"/>
        <v>45m</v>
      </c>
      <c r="H246" s="6">
        <v>0</v>
      </c>
      <c r="I246" s="6">
        <v>0</v>
      </c>
      <c r="J246" s="1" t="s">
        <v>2</v>
      </c>
      <c r="K246" s="1" t="s">
        <v>22</v>
      </c>
      <c r="L246" s="6">
        <f>Tableau1[[#This Row],[Tarif horaire]]*Tableau1[[#This Row],[Durée]]</f>
        <v>0</v>
      </c>
      <c r="M246" s="6"/>
      <c r="N246" s="6"/>
      <c r="O246" s="6"/>
      <c r="P246" s="6" t="str">
        <f>IF(OR(Tableau1[[#This Row],[Projet ou client]]="Léane",Tableau1[[#This Row],[Projet ou client]]="Valentine",Tableau1[[#This Row],[Projet ou client]]="Léon",Tableau1[[#This Row],[Projet ou client]]="Camille"),"Cours particuliers","Autre")</f>
        <v>Autre</v>
      </c>
    </row>
    <row r="247" spans="1:16">
      <c r="A247" s="1" t="s">
        <v>163</v>
      </c>
      <c r="B247" s="4">
        <v>45948.655555555553</v>
      </c>
      <c r="C247" s="40">
        <f>Tableau1[[#This Row],[Date de début]]</f>
        <v>45948.655555555553</v>
      </c>
      <c r="D247" s="5">
        <f t="shared" si="6"/>
        <v>45948.655555555553</v>
      </c>
      <c r="E247" s="5">
        <v>45948.796527777777</v>
      </c>
      <c r="F247" s="6">
        <f t="shared" si="7"/>
        <v>3.383</v>
      </c>
      <c r="G247" s="1" t="str">
        <f t="shared" si="8"/>
        <v>3h 23min</v>
      </c>
      <c r="H247" s="6">
        <v>0</v>
      </c>
      <c r="I247" s="6">
        <v>0</v>
      </c>
      <c r="J247" s="1" t="s">
        <v>2</v>
      </c>
      <c r="K247" s="1" t="s">
        <v>22</v>
      </c>
      <c r="L247" s="6">
        <f>Tableau1[[#This Row],[Tarif horaire]]*Tableau1[[#This Row],[Durée]]</f>
        <v>0</v>
      </c>
      <c r="M247" s="6"/>
      <c r="N247" s="6"/>
      <c r="O247" s="6"/>
      <c r="P247" s="6" t="str">
        <f>IF(OR(Tableau1[[#This Row],[Projet ou client]]="Léane",Tableau1[[#This Row],[Projet ou client]]="Valentine",Tableau1[[#This Row],[Projet ou client]]="Léon",Tableau1[[#This Row],[Projet ou client]]="Camille"),"Cours particuliers","Autre")</f>
        <v>Autre</v>
      </c>
    </row>
    <row r="248" spans="1:16">
      <c r="A248" s="1" t="s">
        <v>163</v>
      </c>
      <c r="B248" s="4">
        <v>45949.256249999999</v>
      </c>
      <c r="C248" s="40">
        <f>Tableau1[[#This Row],[Date de début]]</f>
        <v>45949.256249999999</v>
      </c>
      <c r="D248" s="5">
        <f t="shared" si="6"/>
        <v>45949.256249999999</v>
      </c>
      <c r="E248" s="5">
        <v>45949.45694444445</v>
      </c>
      <c r="F248" s="6">
        <f t="shared" si="7"/>
        <v>4.8170000000000002</v>
      </c>
      <c r="G248" s="1" t="str">
        <f t="shared" si="8"/>
        <v>4h 49min</v>
      </c>
      <c r="H248" s="6">
        <v>0</v>
      </c>
      <c r="I248" s="6">
        <v>0</v>
      </c>
      <c r="J248" s="1" t="s">
        <v>164</v>
      </c>
      <c r="K248" s="1" t="s">
        <v>22</v>
      </c>
      <c r="L248" s="6">
        <f>Tableau1[[#This Row],[Tarif horaire]]*Tableau1[[#This Row],[Durée]]</f>
        <v>0</v>
      </c>
      <c r="M248" s="6"/>
      <c r="N248" s="6"/>
      <c r="O248" s="6"/>
      <c r="P248" s="6" t="str">
        <f>IF(OR(Tableau1[[#This Row],[Projet ou client]]="Léane",Tableau1[[#This Row],[Projet ou client]]="Valentine",Tableau1[[#This Row],[Projet ou client]]="Léon",Tableau1[[#This Row],[Projet ou client]]="Camille"),"Cours particuliers","Autre")</f>
        <v>Autre</v>
      </c>
    </row>
    <row r="249" spans="1:16">
      <c r="A249" s="1" t="s">
        <v>163</v>
      </c>
      <c r="B249" s="4">
        <v>45949.461111111115</v>
      </c>
      <c r="C249" s="40">
        <f>Tableau1[[#This Row],[Date de début]]</f>
        <v>45949.461111111115</v>
      </c>
      <c r="D249" s="5">
        <f t="shared" si="6"/>
        <v>45949.461111111115</v>
      </c>
      <c r="E249" s="5">
        <v>45949.466666666667</v>
      </c>
      <c r="F249" s="6">
        <f t="shared" si="7"/>
        <v>0.13300000000000001</v>
      </c>
      <c r="G249" s="1" t="str">
        <f t="shared" si="8"/>
        <v>8m</v>
      </c>
      <c r="H249" s="6">
        <v>0</v>
      </c>
      <c r="I249" s="6">
        <v>0</v>
      </c>
      <c r="J249" s="1" t="s">
        <v>165</v>
      </c>
      <c r="K249" s="1" t="s">
        <v>22</v>
      </c>
      <c r="L249" s="6">
        <f>Tableau1[[#This Row],[Tarif horaire]]*Tableau1[[#This Row],[Durée]]</f>
        <v>0</v>
      </c>
      <c r="M249" s="6"/>
      <c r="N249" s="6"/>
      <c r="O249" s="6"/>
      <c r="P249" s="6" t="str">
        <f>IF(OR(Tableau1[[#This Row],[Projet ou client]]="Léane",Tableau1[[#This Row],[Projet ou client]]="Valentine",Tableau1[[#This Row],[Projet ou client]]="Léon",Tableau1[[#This Row],[Projet ou client]]="Camille"),"Cours particuliers","Autre")</f>
        <v>Autre</v>
      </c>
    </row>
    <row r="250" spans="1:16">
      <c r="A250" s="1" t="s">
        <v>163</v>
      </c>
      <c r="B250" s="4">
        <v>45949.756944444445</v>
      </c>
      <c r="C250" s="40">
        <f>Tableau1[[#This Row],[Date de début]]</f>
        <v>45949.756944444445</v>
      </c>
      <c r="D250" s="5">
        <f t="shared" si="6"/>
        <v>45949.756944444445</v>
      </c>
      <c r="E250" s="5">
        <v>45949.804861111115</v>
      </c>
      <c r="F250" s="6">
        <f t="shared" si="7"/>
        <v>1.1499999999999999</v>
      </c>
      <c r="G250" s="1" t="str">
        <f t="shared" si="8"/>
        <v>1h 9min</v>
      </c>
      <c r="H250" s="6">
        <v>0</v>
      </c>
      <c r="I250" s="6">
        <v>0</v>
      </c>
      <c r="J250" s="1" t="s">
        <v>2</v>
      </c>
      <c r="K250" s="1" t="s">
        <v>22</v>
      </c>
      <c r="L250" s="6">
        <f>Tableau1[[#This Row],[Tarif horaire]]*Tableau1[[#This Row],[Durée]]</f>
        <v>0</v>
      </c>
      <c r="M250" s="6"/>
      <c r="N250" s="6"/>
      <c r="O250" s="6"/>
      <c r="P250" s="6" t="str">
        <f>IF(OR(Tableau1[[#This Row],[Projet ou client]]="Léane",Tableau1[[#This Row],[Projet ou client]]="Valentine",Tableau1[[#This Row],[Projet ou client]]="Léon",Tableau1[[#This Row],[Projet ou client]]="Camille"),"Cours particuliers","Autre")</f>
        <v>Autre</v>
      </c>
    </row>
    <row r="251" spans="1:16">
      <c r="A251" s="1" t="s">
        <v>163</v>
      </c>
      <c r="B251" s="4">
        <v>45949.847916666666</v>
      </c>
      <c r="C251" s="40">
        <f>Tableau1[[#This Row],[Date de début]]</f>
        <v>45949.847916666666</v>
      </c>
      <c r="D251" s="5">
        <f t="shared" si="6"/>
        <v>45949.847916666666</v>
      </c>
      <c r="E251" s="5">
        <v>45949.916666666672</v>
      </c>
      <c r="F251" s="6">
        <f t="shared" si="7"/>
        <v>1.65</v>
      </c>
      <c r="G251" s="1" t="str">
        <f t="shared" si="8"/>
        <v>1h 39min</v>
      </c>
      <c r="H251" s="6">
        <v>0</v>
      </c>
      <c r="I251" s="6">
        <v>0</v>
      </c>
      <c r="J251" s="1" t="s">
        <v>166</v>
      </c>
      <c r="K251" s="1" t="s">
        <v>22</v>
      </c>
      <c r="L251" s="6">
        <f>Tableau1[[#This Row],[Tarif horaire]]*Tableau1[[#This Row],[Durée]]</f>
        <v>0</v>
      </c>
      <c r="M251" s="6"/>
      <c r="N251" s="6"/>
      <c r="O251" s="6"/>
      <c r="P251" s="6" t="str">
        <f>IF(OR(Tableau1[[#This Row],[Projet ou client]]="Léane",Tableau1[[#This Row],[Projet ou client]]="Valentine",Tableau1[[#This Row],[Projet ou client]]="Léon",Tableau1[[#This Row],[Projet ou client]]="Camille"),"Cours particuliers","Autre")</f>
        <v>Autre</v>
      </c>
    </row>
    <row r="252" spans="1:16">
      <c r="A252" s="1" t="s">
        <v>77</v>
      </c>
      <c r="B252" s="4">
        <v>45950.340277777781</v>
      </c>
      <c r="C252" s="40">
        <f>Tableau1[[#This Row],[Date de début]]</f>
        <v>45950.340277777781</v>
      </c>
      <c r="D252" s="5">
        <f t="shared" si="6"/>
        <v>45950.340277777781</v>
      </c>
      <c r="E252" s="5">
        <v>45950.746527777781</v>
      </c>
      <c r="F252" s="6">
        <f t="shared" si="7"/>
        <v>9.75</v>
      </c>
      <c r="G252" s="1" t="str">
        <f t="shared" si="8"/>
        <v>9h 45min</v>
      </c>
      <c r="H252" s="6">
        <v>0</v>
      </c>
      <c r="I252" s="6">
        <v>0</v>
      </c>
      <c r="J252" s="1" t="s">
        <v>2</v>
      </c>
      <c r="K252" s="1" t="s">
        <v>22</v>
      </c>
      <c r="L252" s="6">
        <f>Tableau1[[#This Row],[Tarif horaire]]*Tableau1[[#This Row],[Durée]]</f>
        <v>0</v>
      </c>
      <c r="M252" s="6"/>
      <c r="N252" s="6"/>
      <c r="O252" s="6"/>
      <c r="P252" s="6" t="str">
        <f>IF(OR(Tableau1[[#This Row],[Projet ou client]]="Léane",Tableau1[[#This Row],[Projet ou client]]="Valentine",Tableau1[[#This Row],[Projet ou client]]="Léon",Tableau1[[#This Row],[Projet ou client]]="Camille"),"Cours particuliers","Autre")</f>
        <v>Autre</v>
      </c>
    </row>
    <row r="253" spans="1:16">
      <c r="A253" s="1" t="s">
        <v>77</v>
      </c>
      <c r="B253" s="4">
        <v>45951.332638888889</v>
      </c>
      <c r="C253" s="40">
        <f>Tableau1[[#This Row],[Date de début]]</f>
        <v>45951.332638888889</v>
      </c>
      <c r="D253" s="5">
        <f t="shared" ref="D253:D257" si="9">C253</f>
        <v>45951.332638888889</v>
      </c>
      <c r="E253" s="5">
        <v>45951.745138888888</v>
      </c>
      <c r="F253" s="6">
        <f t="shared" ref="F253:F257" si="10">MAX(ROUND((E253-C253)*24,3)-N253,0)</f>
        <v>9.9</v>
      </c>
      <c r="G253" s="1" t="str">
        <f t="shared" ref="G253:G257" si="11">IF(FLOOR(TRUNC(F253),1)&gt;0,FLOOR(TRUNC(F253),1)&amp;"h "&amp;FLOOR(ROUND((F253-FLOOR(TRUNC(F253),1))*60,0),1)&amp;"min",FLOOR(ROUND((F253-FLOOR(TRUNC(F253),1))*60,0),1)&amp;"m")</f>
        <v>9h 54min</v>
      </c>
      <c r="H253" s="6">
        <v>0</v>
      </c>
      <c r="I253" s="6">
        <v>0</v>
      </c>
      <c r="J253" s="1" t="s">
        <v>2</v>
      </c>
      <c r="K253" s="1" t="s">
        <v>22</v>
      </c>
      <c r="L253" s="6">
        <f>Tableau1[[#This Row],[Tarif horaire]]*Tableau1[[#This Row],[Durée]]</f>
        <v>0</v>
      </c>
      <c r="M253" s="6"/>
      <c r="N253" s="6"/>
      <c r="O253" s="6"/>
      <c r="P253" s="6" t="str">
        <f>IF(OR(Tableau1[[#This Row],[Projet ou client]]="Léane",Tableau1[[#This Row],[Projet ou client]]="Valentine",Tableau1[[#This Row],[Projet ou client]]="Léon",Tableau1[[#This Row],[Projet ou client]]="Camille"),"Cours particuliers","Autre")</f>
        <v>Autre</v>
      </c>
    </row>
    <row r="254" spans="1:16">
      <c r="A254" s="1" t="s">
        <v>77</v>
      </c>
      <c r="B254" s="4">
        <v>45952.333333333328</v>
      </c>
      <c r="C254" s="40">
        <f>Tableau1[[#This Row],[Date de début]]</f>
        <v>45952.333333333328</v>
      </c>
      <c r="D254" s="5">
        <f t="shared" si="9"/>
        <v>45952.333333333328</v>
      </c>
      <c r="E254" s="5">
        <v>45952.510416666672</v>
      </c>
      <c r="F254" s="6">
        <f t="shared" si="10"/>
        <v>4.25</v>
      </c>
      <c r="G254" s="1" t="str">
        <f t="shared" si="11"/>
        <v>4h 15min</v>
      </c>
      <c r="H254" s="6">
        <v>0</v>
      </c>
      <c r="I254" s="6">
        <v>0</v>
      </c>
      <c r="J254" s="1" t="s">
        <v>2</v>
      </c>
      <c r="K254" s="1" t="s">
        <v>22</v>
      </c>
      <c r="L254" s="6">
        <f>Tableau1[[#This Row],[Tarif horaire]]*Tableau1[[#This Row],[Durée]]</f>
        <v>0</v>
      </c>
      <c r="M254" s="6"/>
      <c r="N254" s="6"/>
      <c r="O254" s="6"/>
      <c r="P254" s="6" t="str">
        <f>IF(OR(Tableau1[[#This Row],[Projet ou client]]="Léane",Tableau1[[#This Row],[Projet ou client]]="Valentine",Tableau1[[#This Row],[Projet ou client]]="Léon",Tableau1[[#This Row],[Projet ou client]]="Camille"),"Cours particuliers","Autre")</f>
        <v>Autre</v>
      </c>
    </row>
    <row r="255" spans="1:16" ht="43.15">
      <c r="A255" s="1" t="s">
        <v>54</v>
      </c>
      <c r="B255" s="4">
        <v>45952.64444444445</v>
      </c>
      <c r="C255" s="40">
        <f>Tableau1[[#This Row],[Date de début]]</f>
        <v>45952.64444444445</v>
      </c>
      <c r="D255" s="5">
        <f t="shared" si="9"/>
        <v>45952.64444444445</v>
      </c>
      <c r="E255" s="5">
        <v>45952.65625</v>
      </c>
      <c r="F255" s="6">
        <f t="shared" si="10"/>
        <v>0.28299999999999997</v>
      </c>
      <c r="G255" s="1" t="str">
        <f t="shared" si="11"/>
        <v>17m</v>
      </c>
      <c r="H255" s="6">
        <v>0</v>
      </c>
      <c r="I255" s="6">
        <v>0</v>
      </c>
      <c r="J255" s="1" t="s">
        <v>2</v>
      </c>
      <c r="K255" s="1" t="s">
        <v>22</v>
      </c>
      <c r="L255" s="6">
        <f>Tableau1[[#This Row],[Tarif horaire]]*Tableau1[[#This Row],[Durée]]</f>
        <v>0</v>
      </c>
      <c r="M255" s="6"/>
      <c r="N255" s="6"/>
      <c r="O255" s="6"/>
      <c r="P255" s="6" t="str">
        <f>IF(OR(Tableau1[[#This Row],[Projet ou client]]="Léane",Tableau1[[#This Row],[Projet ou client]]="Valentine",Tableau1[[#This Row],[Projet ou client]]="Léon",Tableau1[[#This Row],[Projet ou client]]="Camille"),"Cours particuliers","Autre")</f>
        <v>Autre</v>
      </c>
    </row>
    <row r="256" spans="1:16">
      <c r="A256" s="1" t="s">
        <v>127</v>
      </c>
      <c r="B256" s="4">
        <v>45952.677083333328</v>
      </c>
      <c r="C256" s="40">
        <f>Tableau1[[#This Row],[Date de début]]</f>
        <v>45952.677083333328</v>
      </c>
      <c r="D256" s="5">
        <f t="shared" si="9"/>
        <v>45952.677083333328</v>
      </c>
      <c r="E256" s="5">
        <v>45952.73819444445</v>
      </c>
      <c r="F256" s="6">
        <f t="shared" si="10"/>
        <v>1.4670000000000001</v>
      </c>
      <c r="G256" s="1" t="str">
        <f t="shared" si="11"/>
        <v>1h 28min</v>
      </c>
      <c r="H256" s="6">
        <v>40</v>
      </c>
      <c r="I256" s="6">
        <v>0</v>
      </c>
      <c r="J256" s="1" t="s">
        <v>2</v>
      </c>
      <c r="K256" s="1" t="s">
        <v>22</v>
      </c>
      <c r="L256" s="6">
        <f>Tableau1[[#This Row],[Tarif horaire]]*Tableau1[[#This Row],[Durée]]</f>
        <v>58.680000000000007</v>
      </c>
      <c r="M256" s="6"/>
      <c r="N256" s="6"/>
      <c r="O256" s="6"/>
      <c r="P256" s="6" t="str">
        <f>IF(OR(Tableau1[[#This Row],[Projet ou client]]="Léane",Tableau1[[#This Row],[Projet ou client]]="Valentine",Tableau1[[#This Row],[Projet ou client]]="Léon",Tableau1[[#This Row],[Projet ou client]]="Camille"),"Cours particuliers","Autre")</f>
        <v>Cours particuliers</v>
      </c>
    </row>
    <row r="257" spans="1:16" ht="43.15">
      <c r="A257" s="1" t="s">
        <v>54</v>
      </c>
      <c r="B257" s="4">
        <v>45953.538194444445</v>
      </c>
      <c r="C257" s="40">
        <f>Tableau1[[#This Row],[Date de début]]</f>
        <v>45953.538194444445</v>
      </c>
      <c r="D257" s="5">
        <f t="shared" si="9"/>
        <v>45953.538194444445</v>
      </c>
      <c r="E257" s="5">
        <v>45953.545138888891</v>
      </c>
      <c r="F257" s="6">
        <f t="shared" si="10"/>
        <v>0.16700000000000001</v>
      </c>
      <c r="G257" s="1" t="str">
        <f t="shared" si="11"/>
        <v>10m</v>
      </c>
      <c r="H257" s="6">
        <v>0</v>
      </c>
      <c r="I257" s="6">
        <v>0</v>
      </c>
      <c r="J257" s="1" t="s">
        <v>2</v>
      </c>
      <c r="K257" s="1" t="s">
        <v>22</v>
      </c>
      <c r="L257" s="6">
        <f>Tableau1[[#This Row],[Tarif horaire]]*Tableau1[[#This Row],[Durée]]</f>
        <v>0</v>
      </c>
      <c r="M257" s="6"/>
      <c r="N257" s="6"/>
      <c r="O257" s="6"/>
      <c r="P257" s="6" t="str">
        <f>IF(OR(Tableau1[[#This Row],[Projet ou client]]="Léane",Tableau1[[#This Row],[Projet ou client]]="Valentine",Tableau1[[#This Row],[Projet ou client]]="Léon",Tableau1[[#This Row],[Projet ou client]]="Camille"),"Cours particuliers","Autre")</f>
        <v>Autre</v>
      </c>
    </row>
    <row r="258" spans="1:16">
      <c r="B258" s="4"/>
      <c r="C258" s="40">
        <f>Tableau1[[#This Row],[Date de début]]</f>
        <v>0</v>
      </c>
      <c r="D258" s="5"/>
      <c r="E258" s="5"/>
      <c r="F258" s="6"/>
      <c r="H258" s="6"/>
      <c r="I258" s="6"/>
      <c r="L258" s="6"/>
      <c r="M258" s="6"/>
      <c r="N258" s="6"/>
      <c r="O258" s="6"/>
      <c r="P258" s="6" t="str">
        <f>IF(OR(Tableau1[[#This Row],[Projet ou client]]="Léane",Tableau1[[#This Row],[Projet ou client]]="Valentine",Tableau1[[#This Row],[Projet ou client]]="Léon",Tableau1[[#This Row],[Projet ou client]]="Camille"),"Cours particuliers","Autre")</f>
        <v>Autre</v>
      </c>
    </row>
    <row r="259" spans="1:16">
      <c r="B259" s="4"/>
      <c r="C259" s="40">
        <f>Tableau1[[#This Row],[Date de début]]</f>
        <v>0</v>
      </c>
      <c r="D259" s="5"/>
      <c r="E259" s="5"/>
      <c r="F259" s="6"/>
      <c r="H259" s="6"/>
      <c r="I259" s="6"/>
      <c r="L259" s="6"/>
      <c r="M259" s="6"/>
      <c r="N259" s="6"/>
      <c r="O259" s="6"/>
      <c r="P259" s="6" t="str">
        <f>IF(OR(Tableau1[[#This Row],[Projet ou client]]="Léane",Tableau1[[#This Row],[Projet ou client]]="Valentine",Tableau1[[#This Row],[Projet ou client]]="Léon",Tableau1[[#This Row],[Projet ou client]]="Camille"),"Cours particuliers","Autre")</f>
        <v>Autre</v>
      </c>
    </row>
    <row r="260" spans="1:16">
      <c r="B260" s="4"/>
      <c r="C260" s="40">
        <f>Tableau1[[#This Row],[Date de début]]</f>
        <v>0</v>
      </c>
      <c r="D260" s="5"/>
      <c r="E260" s="5"/>
      <c r="F260" s="6"/>
      <c r="H260" s="6"/>
      <c r="I260" s="6"/>
      <c r="L260" s="6"/>
      <c r="M260" s="6"/>
      <c r="N260" s="6"/>
      <c r="O260" s="6"/>
      <c r="P260" s="6" t="str">
        <f>IF(OR(Tableau1[[#This Row],[Projet ou client]]="Léane",Tableau1[[#This Row],[Projet ou client]]="Valentine",Tableau1[[#This Row],[Projet ou client]]="Léon",Tableau1[[#This Row],[Projet ou client]]="Camille"),"Cours particuliers","Autre")</f>
        <v>Autre</v>
      </c>
    </row>
    <row r="261" spans="1:16">
      <c r="B261" s="4"/>
      <c r="C261" s="40">
        <f>Tableau1[[#This Row],[Date de début]]</f>
        <v>0</v>
      </c>
      <c r="D261" s="5"/>
      <c r="E261" s="5"/>
      <c r="F261" s="6"/>
      <c r="H261" s="6"/>
      <c r="I261" s="6"/>
      <c r="L261" s="6"/>
      <c r="M261" s="6"/>
      <c r="N261" s="6"/>
      <c r="O261" s="6"/>
      <c r="P261" s="6" t="str">
        <f>IF(OR(Tableau1[[#This Row],[Projet ou client]]="Léane",Tableau1[[#This Row],[Projet ou client]]="Valentine",Tableau1[[#This Row],[Projet ou client]]="Léon",Tableau1[[#This Row],[Projet ou client]]="Camille"),"Cours particuliers","Autre")</f>
        <v>Autre</v>
      </c>
    </row>
    <row r="262" spans="1:16">
      <c r="B262" s="4"/>
      <c r="C262" s="40">
        <f>Tableau1[[#This Row],[Date de début]]</f>
        <v>0</v>
      </c>
      <c r="D262" s="5"/>
      <c r="E262" s="5"/>
      <c r="F262" s="6"/>
      <c r="H262" s="6"/>
      <c r="I262" s="6"/>
      <c r="L262" s="6"/>
      <c r="M262" s="6"/>
      <c r="N262" s="6"/>
      <c r="O262" s="6"/>
      <c r="P262" s="6" t="str">
        <f>IF(OR(Tableau1[[#This Row],[Projet ou client]]="Léane",Tableau1[[#This Row],[Projet ou client]]="Valentine",Tableau1[[#This Row],[Projet ou client]]="Léon",Tableau1[[#This Row],[Projet ou client]]="Camille"),"Cours particuliers","Autre")</f>
        <v>Autre</v>
      </c>
    </row>
    <row r="263" spans="1:16">
      <c r="A263" s="1" t="s">
        <v>167</v>
      </c>
      <c r="F263" s="6">
        <f>SUBTOTAL(109,F17:F262)</f>
        <v>382.06499999999994</v>
      </c>
      <c r="P263" s="1">
        <f>SUBTOTAL(103,Tableau1[Type])</f>
        <v>246</v>
      </c>
    </row>
    <row r="267" spans="1:16">
      <c r="A267" s="46" t="s">
        <v>168</v>
      </c>
      <c r="B267" s="45"/>
      <c r="C267" s="45"/>
      <c r="D267" s="45"/>
      <c r="E267" s="45"/>
      <c r="F267" s="45"/>
      <c r="G267" s="45"/>
      <c r="H267" s="45"/>
      <c r="I267" s="45"/>
      <c r="J267" s="45"/>
      <c r="K267" s="45"/>
    </row>
    <row r="268" spans="1:16">
      <c r="A268" s="45" t="s">
        <v>169</v>
      </c>
      <c r="B268" s="45"/>
      <c r="C268" s="45"/>
      <c r="D268" s="45"/>
      <c r="E268" s="45"/>
      <c r="F268" s="45"/>
      <c r="G268" s="45"/>
      <c r="H268" s="45"/>
      <c r="I268" s="45"/>
      <c r="J268" s="45"/>
      <c r="K268" s="45"/>
    </row>
    <row r="269" spans="1:16">
      <c r="A269" s="45" t="s">
        <v>170</v>
      </c>
      <c r="B269" s="45"/>
      <c r="C269" s="45"/>
      <c r="D269" s="45"/>
      <c r="E269" s="45"/>
      <c r="F269" s="45"/>
      <c r="G269" s="45"/>
      <c r="H269" s="45"/>
      <c r="I269" s="45"/>
      <c r="J269" s="45"/>
      <c r="K269" s="45"/>
    </row>
    <row r="270" spans="1:16">
      <c r="A270" s="45" t="s">
        <v>171</v>
      </c>
      <c r="B270" s="45"/>
      <c r="C270" s="45"/>
      <c r="D270" s="45"/>
      <c r="E270" s="45"/>
      <c r="F270" s="45"/>
      <c r="G270" s="45"/>
      <c r="H270" s="45"/>
      <c r="I270" s="45"/>
      <c r="J270" s="45"/>
      <c r="K270" s="45"/>
    </row>
    <row r="271" spans="1:16">
      <c r="A271" s="45" t="s">
        <v>172</v>
      </c>
      <c r="B271" s="45"/>
      <c r="C271" s="45"/>
      <c r="D271" s="45"/>
      <c r="E271" s="45"/>
      <c r="F271" s="45"/>
      <c r="G271" s="45"/>
      <c r="H271" s="45"/>
      <c r="I271" s="45"/>
      <c r="J271" s="45"/>
      <c r="K271" s="45"/>
    </row>
    <row r="272" spans="1:16">
      <c r="A272" s="45"/>
      <c r="B272" s="45"/>
      <c r="C272" s="45"/>
      <c r="D272" s="45"/>
      <c r="E272" s="45"/>
      <c r="F272" s="45"/>
      <c r="G272" s="45"/>
      <c r="H272" s="45"/>
      <c r="I272" s="45"/>
      <c r="J272" s="45"/>
      <c r="K272" s="45"/>
    </row>
    <row r="273" spans="1:11">
      <c r="A273" s="45" t="s">
        <v>173</v>
      </c>
      <c r="B273" s="45"/>
      <c r="C273" s="45"/>
      <c r="D273" s="45"/>
      <c r="E273" s="45"/>
      <c r="F273" s="45"/>
      <c r="G273" s="45"/>
      <c r="H273" s="45"/>
      <c r="I273" s="45"/>
      <c r="J273" s="45"/>
      <c r="K273" s="45"/>
    </row>
    <row r="658" ht="24" customHeight="1"/>
  </sheetData>
  <mergeCells count="9">
    <mergeCell ref="A270:K270"/>
    <mergeCell ref="A271:K271"/>
    <mergeCell ref="A272:K272"/>
    <mergeCell ref="A273:K273"/>
    <mergeCell ref="B1:F1"/>
    <mergeCell ref="B4:F4"/>
    <mergeCell ref="A267:K267"/>
    <mergeCell ref="A268:K268"/>
    <mergeCell ref="A269:K269"/>
  </mergeCells>
  <pageMargins left="0.7" right="0.7" top="0.75" bottom="0.75" header="0.3" footer="0.3"/>
  <pageSetup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23E7-3E86-4DCF-B0AF-8847D080FDFB}">
  <dimension ref="A1:G9"/>
  <sheetViews>
    <sheetView workbookViewId="0">
      <selection activeCell="B8" sqref="B8"/>
    </sheetView>
  </sheetViews>
  <sheetFormatPr defaultColWidth="11.42578125" defaultRowHeight="14.45"/>
  <cols>
    <col min="1" max="1" width="21.85546875" bestFit="1" customWidth="1"/>
    <col min="2" max="2" width="22.28515625" bestFit="1" customWidth="1"/>
    <col min="3" max="3" width="27.42578125" bestFit="1" customWidth="1"/>
    <col min="4" max="4" width="16.140625" bestFit="1" customWidth="1"/>
  </cols>
  <sheetData>
    <row r="1" spans="1:7">
      <c r="A1" s="9" t="s">
        <v>19</v>
      </c>
      <c r="B1" t="s">
        <v>174</v>
      </c>
    </row>
    <row r="2" spans="1:7">
      <c r="A2" s="9" t="s">
        <v>6</v>
      </c>
      <c r="B2" t="s">
        <v>175</v>
      </c>
    </row>
    <row r="3" spans="1:7">
      <c r="G3" t="e">
        <f>GETPIVOTDATA(B3,B3,A7,GETPIVOTDATA("Somme de Durée",$A$3,"Projet ou client","Louis","Mois (Date de début)",12,"Trimestres (Date de début)",4,"Années (Date de début)",2024))</f>
        <v>#REF!</v>
      </c>
    </row>
    <row r="4" spans="1:7">
      <c r="A4" s="9" t="s">
        <v>176</v>
      </c>
      <c r="B4" t="s">
        <v>177</v>
      </c>
      <c r="C4" t="s">
        <v>178</v>
      </c>
      <c r="D4" t="s">
        <v>179</v>
      </c>
    </row>
    <row r="5" spans="1:7">
      <c r="A5" s="10" t="s">
        <v>110</v>
      </c>
      <c r="B5" s="11">
        <v>3.5660000000000003</v>
      </c>
      <c r="C5" s="11">
        <v>0</v>
      </c>
      <c r="D5" s="11">
        <v>124.81</v>
      </c>
    </row>
    <row r="6" spans="1:7">
      <c r="A6" s="10" t="s">
        <v>159</v>
      </c>
      <c r="B6" s="11">
        <v>1.65</v>
      </c>
      <c r="C6" s="11">
        <v>0</v>
      </c>
      <c r="D6" s="11">
        <v>66</v>
      </c>
    </row>
    <row r="7" spans="1:7">
      <c r="A7" s="10" t="s">
        <v>71</v>
      </c>
      <c r="B7" s="11">
        <v>3.3170000000000002</v>
      </c>
      <c r="C7" s="11">
        <v>0</v>
      </c>
      <c r="D7" s="11">
        <v>132.68</v>
      </c>
    </row>
    <row r="8" spans="1:7">
      <c r="A8" s="10" t="s">
        <v>127</v>
      </c>
      <c r="B8" s="11">
        <v>6.0500000000000007</v>
      </c>
      <c r="C8" s="11">
        <v>0</v>
      </c>
      <c r="D8" s="11">
        <v>242</v>
      </c>
    </row>
    <row r="9" spans="1:7">
      <c r="A9" s="10" t="s">
        <v>180</v>
      </c>
      <c r="B9" s="11">
        <v>14.583000000000002</v>
      </c>
      <c r="C9" s="11">
        <v>0</v>
      </c>
      <c r="D9" s="11">
        <v>565.49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3A310-5010-475A-8FD1-666D95343DED}">
  <sheetPr>
    <pageSetUpPr fitToPage="1"/>
  </sheetPr>
  <dimension ref="A1:O30"/>
  <sheetViews>
    <sheetView zoomScale="85" zoomScaleNormal="85" workbookViewId="0">
      <selection activeCell="D17" sqref="D17"/>
    </sheetView>
  </sheetViews>
  <sheetFormatPr defaultColWidth="11.42578125" defaultRowHeight="14.45" outlineLevelCol="2"/>
  <cols>
    <col min="1" max="1" width="29.85546875" bestFit="1" customWidth="1"/>
    <col min="2" max="2" width="19.7109375" bestFit="1" customWidth="1"/>
    <col min="3" max="3" width="9.7109375" customWidth="1" outlineLevel="1"/>
    <col min="4" max="4" width="12.5703125" bestFit="1" customWidth="1"/>
    <col min="5" max="5" width="38.42578125" bestFit="1" customWidth="1"/>
    <col min="6" max="6" width="21.7109375" bestFit="1" customWidth="1"/>
    <col min="7" max="7" width="21.5703125" bestFit="1" customWidth="1"/>
    <col min="8" max="8" width="18.7109375" customWidth="1" outlineLevel="2"/>
    <col min="9" max="9" width="23" customWidth="1" outlineLevel="2"/>
    <col min="10" max="10" width="14.5703125" bestFit="1" customWidth="1"/>
    <col min="11" max="11" width="15.42578125" bestFit="1" customWidth="1"/>
    <col min="12" max="12" width="25.28515625" bestFit="1" customWidth="1"/>
    <col min="13" max="13" width="21.28515625" bestFit="1" customWidth="1"/>
    <col min="14" max="14" width="11.7109375" bestFit="1" customWidth="1"/>
  </cols>
  <sheetData>
    <row r="1" spans="1:15" ht="14.45" customHeight="1">
      <c r="A1" s="47" t="s">
        <v>181</v>
      </c>
      <c r="B1" s="47"/>
      <c r="C1" s="47"/>
      <c r="D1" s="47"/>
      <c r="E1" s="47"/>
      <c r="F1" s="47"/>
      <c r="G1" s="47"/>
      <c r="H1" s="47"/>
      <c r="I1" s="47"/>
      <c r="J1" s="47"/>
      <c r="K1" s="47"/>
      <c r="L1" s="47"/>
      <c r="M1" s="47"/>
      <c r="N1" s="47"/>
    </row>
    <row r="2" spans="1:15" ht="14.45" customHeight="1">
      <c r="A2" s="47"/>
      <c r="B2" s="47"/>
      <c r="C2" s="47"/>
      <c r="D2" s="47"/>
      <c r="E2" s="47"/>
      <c r="F2" s="47"/>
      <c r="G2" s="47"/>
      <c r="H2" s="47"/>
      <c r="I2" s="47"/>
      <c r="J2" s="47"/>
      <c r="K2" s="47"/>
      <c r="L2" s="47"/>
      <c r="M2" s="47"/>
      <c r="N2" s="47"/>
    </row>
    <row r="3" spans="1:15" ht="18">
      <c r="A3" s="38" t="s">
        <v>182</v>
      </c>
      <c r="B3" s="38" t="s">
        <v>183</v>
      </c>
      <c r="C3" s="24"/>
      <c r="D3" s="24"/>
      <c r="E3" s="24"/>
      <c r="F3" s="24"/>
      <c r="G3" s="24"/>
      <c r="H3" s="24"/>
      <c r="I3" s="24"/>
      <c r="J3" s="24"/>
      <c r="K3" s="24"/>
    </row>
    <row r="4" spans="1:15" s="25" customFormat="1" ht="18">
      <c r="A4" s="24"/>
      <c r="B4" s="24"/>
      <c r="C4" s="24"/>
      <c r="D4" s="24"/>
      <c r="E4" s="24"/>
      <c r="F4" s="24"/>
      <c r="G4" s="24"/>
      <c r="H4" s="24"/>
      <c r="I4" s="24"/>
      <c r="J4" s="24"/>
      <c r="K4" s="24"/>
    </row>
    <row r="5" spans="1:15" s="25" customFormat="1" ht="18">
      <c r="A5" s="25" t="s">
        <v>184</v>
      </c>
      <c r="B5" s="25" t="s">
        <v>185</v>
      </c>
      <c r="E5" s="25" t="s">
        <v>186</v>
      </c>
      <c r="F5" s="25">
        <v>18</v>
      </c>
    </row>
    <row r="6" spans="1:15" s="25" customFormat="1" ht="18">
      <c r="E6" s="25" t="s">
        <v>187</v>
      </c>
      <c r="F6" s="26">
        <f>0.636</f>
        <v>0.63600000000000001</v>
      </c>
    </row>
    <row r="7" spans="1:15" s="25" customFormat="1" ht="18">
      <c r="A7" s="25" t="s">
        <v>188</v>
      </c>
      <c r="B7" s="27">
        <f>DATE(2025,9,11)</f>
        <v>45911</v>
      </c>
      <c r="O7"/>
    </row>
    <row r="8" spans="1:15" s="25" customFormat="1" ht="18">
      <c r="A8" s="25" t="s">
        <v>189</v>
      </c>
      <c r="O8"/>
    </row>
    <row r="9" spans="1:15" s="25" customFormat="1" ht="18">
      <c r="O9"/>
    </row>
    <row r="10" spans="1:15" s="25" customFormat="1" ht="18">
      <c r="A10" s="25" t="s">
        <v>190</v>
      </c>
      <c r="B10" s="28">
        <v>35</v>
      </c>
      <c r="O10"/>
    </row>
    <row r="11" spans="1:15" s="25" customFormat="1" ht="18">
      <c r="A11" s="25" t="s">
        <v>191</v>
      </c>
      <c r="B11" s="28">
        <v>44.8</v>
      </c>
      <c r="O11"/>
    </row>
    <row r="12" spans="1:15" s="25" customFormat="1" ht="18">
      <c r="B12" s="28"/>
      <c r="O12"/>
    </row>
    <row r="13" spans="1:15" s="25" customFormat="1" ht="18">
      <c r="A13" s="25" t="s">
        <v>192</v>
      </c>
      <c r="B13" s="25" t="s">
        <v>6</v>
      </c>
      <c r="C13" s="25" t="s">
        <v>193</v>
      </c>
      <c r="D13" s="25" t="s">
        <v>194</v>
      </c>
      <c r="E13" s="25" t="s">
        <v>195</v>
      </c>
      <c r="F13" s="25" t="s">
        <v>196</v>
      </c>
      <c r="G13" s="25" t="s">
        <v>197</v>
      </c>
      <c r="H13" s="25" t="s">
        <v>198</v>
      </c>
      <c r="I13" s="25" t="s">
        <v>199</v>
      </c>
      <c r="J13" s="25" t="s">
        <v>200</v>
      </c>
      <c r="K13" s="25" t="s">
        <v>201</v>
      </c>
      <c r="L13" s="25" t="s">
        <v>202</v>
      </c>
      <c r="M13" s="25" t="s">
        <v>203</v>
      </c>
      <c r="N13" s="25" t="s">
        <v>167</v>
      </c>
      <c r="O13"/>
    </row>
    <row r="14" spans="1:15" s="25" customFormat="1" ht="18">
      <c r="A14" s="25">
        <v>2025</v>
      </c>
      <c r="B14" s="42">
        <f>B7</f>
        <v>45911</v>
      </c>
      <c r="C14" s="25">
        <f>MONTH(B7)</f>
        <v>9</v>
      </c>
      <c r="D14" s="29">
        <v>2.2200000000000002</v>
      </c>
      <c r="E14" s="29">
        <f>Tableau271243[[#This Row],[Temps réel]]-INT(Tableau271243[[#This Row],[Temps réel]])</f>
        <v>0.2200000000000002</v>
      </c>
      <c r="F14" s="30">
        <f>IF(Tableau271243[[#This Row],[Cumul du temps à reporter]]&lt;1,0,1)</f>
        <v>0</v>
      </c>
      <c r="G14" s="30" cm="1">
        <f t="array" ref="G14">_xlfn.IFS(E14&lt;1,INT(D14),E14&gt;1,INT(D14)+1)</f>
        <v>2</v>
      </c>
      <c r="H14" s="30">
        <v>2</v>
      </c>
      <c r="I14" s="31">
        <f>Tableau271243[[#This Row],[Temps déclaré]]*$B$10</f>
        <v>70</v>
      </c>
      <c r="J14" s="31">
        <f>Tableau271243[[#This Row],[Temps déclaré]]*$B$10</f>
        <v>70</v>
      </c>
      <c r="K14" s="28">
        <f>Tableau271243[[#This Row],[Temps déclaré]]*$B$11</f>
        <v>89.6</v>
      </c>
      <c r="L14" s="32">
        <v>2</v>
      </c>
      <c r="M14" s="33">
        <f>$F$5*$F$6*Tableau271243[[#This Row],[Nombre de déplacements]]</f>
        <v>22.896000000000001</v>
      </c>
      <c r="N14" s="28">
        <f>SUM(Tableau271243[[#This Row],[Paiement effectué]],Tableau271243[[#This Row],[Frais de déplacement]])</f>
        <v>92.896000000000001</v>
      </c>
      <c r="O14"/>
    </row>
    <row r="15" spans="1:15" s="25" customFormat="1" ht="18">
      <c r="A15" s="25">
        <v>2025</v>
      </c>
      <c r="B15" s="42">
        <f>EDATE($B$14,Tableau271243[[#This Row],[N° mois]]-$C$14)</f>
        <v>45941</v>
      </c>
      <c r="C15" s="25">
        <f>IF(C14&lt;12,$C14+1,1)</f>
        <v>10</v>
      </c>
      <c r="D15" s="29">
        <v>3.57</v>
      </c>
      <c r="E15" s="29">
        <f>Tableau271243[[#This Row],[Temps réel]]-INT(Tableau271243[[#This Row],[Temps réel]])+E14</f>
        <v>0.79</v>
      </c>
      <c r="F15" s="30">
        <f>IF(Tableau271243[[#This Row],[Cumul du temps à reporter]]&lt;1,0,1)</f>
        <v>0</v>
      </c>
      <c r="G15" s="30" cm="1">
        <f t="array" ref="G15">_xlfn.IFS(E15&lt;1,INT(D15),E15&gt;1,INT(D15)+1)</f>
        <v>3</v>
      </c>
      <c r="H15" s="30">
        <v>3</v>
      </c>
      <c r="I15" s="31">
        <f>Tableau271243[[#This Row],[Temps déclaré]]*$B$10</f>
        <v>105</v>
      </c>
      <c r="J15" s="31">
        <f>Tableau271243[[#This Row],[Temps déclaré]]*$B$10</f>
        <v>105</v>
      </c>
      <c r="K15" s="28">
        <f>Tableau271243[[#This Row],[Temps déclaré]]*$B$11</f>
        <v>134.39999999999998</v>
      </c>
      <c r="L15" s="32">
        <v>3</v>
      </c>
      <c r="M15" s="33">
        <f>$F$5*$F$6*Tableau271243[[#This Row],[Nombre de déplacements]]</f>
        <v>34.344000000000001</v>
      </c>
      <c r="N15" s="28">
        <f>SUM(Tableau271243[[#This Row],[Paiement effectué]],Tableau271243[[#This Row],[Frais de déplacement]])</f>
        <v>139.34399999999999</v>
      </c>
      <c r="O15"/>
    </row>
    <row r="16" spans="1:15" s="25" customFormat="1" ht="18">
      <c r="A16" s="25">
        <v>2025</v>
      </c>
      <c r="B16" s="42">
        <f>EDATE($B$14,Tableau271243[[#This Row],[N° mois]]-$C$14)</f>
        <v>45972</v>
      </c>
      <c r="C16" s="25">
        <f t="shared" ref="C16:C24" si="0">IF(C15&lt;12,$C15+1,1)</f>
        <v>11</v>
      </c>
      <c r="D16" s="29">
        <v>5</v>
      </c>
      <c r="E16" s="29">
        <f>E15</f>
        <v>0.79</v>
      </c>
      <c r="F16" s="30">
        <f>IF(Tableau271243[[#This Row],[Cumul du temps à reporter]]&lt;1,0,1)</f>
        <v>0</v>
      </c>
      <c r="G16" s="30" cm="1">
        <f t="array" ref="G16">_xlfn.IFS(E16&lt;1,INT(D16),E16&gt;1,INT(D16)+1)</f>
        <v>5</v>
      </c>
      <c r="H16" s="30">
        <v>5</v>
      </c>
      <c r="I16" s="31">
        <f>Tableau271243[[#This Row],[Temps déclaré]]*$B$10</f>
        <v>175</v>
      </c>
      <c r="J16" s="31">
        <f>Tableau271243[[#This Row],[Temps déclaré]]*$B$10</f>
        <v>175</v>
      </c>
      <c r="K16" s="28">
        <f>Tableau271243[[#This Row],[Temps déclaré]]*$B$11</f>
        <v>224</v>
      </c>
      <c r="L16" s="32">
        <v>3</v>
      </c>
      <c r="M16" s="33">
        <f>$F$5*$F$6*Tableau271243[[#This Row],[Nombre de déplacements]]</f>
        <v>34.344000000000001</v>
      </c>
      <c r="N16" s="28">
        <f>SUM(Tableau271243[[#This Row],[Paiement effectué]],Tableau271243[[#This Row],[Frais de déplacement]])</f>
        <v>209.34399999999999</v>
      </c>
      <c r="O16"/>
    </row>
    <row r="17" spans="1:15" s="25" customFormat="1" ht="18">
      <c r="A17" s="25">
        <v>2025</v>
      </c>
      <c r="B17" s="42">
        <f>EDATE($B$14,Tableau271243[[#This Row],[N° mois]]-$C$14)</f>
        <v>46002</v>
      </c>
      <c r="C17" s="25">
        <f t="shared" si="0"/>
        <v>12</v>
      </c>
      <c r="D17" s="29">
        <v>2</v>
      </c>
      <c r="E17" s="29">
        <f>E16</f>
        <v>0.79</v>
      </c>
      <c r="F17" s="30">
        <v>1</v>
      </c>
      <c r="G17" s="30">
        <v>3</v>
      </c>
      <c r="H17" s="30">
        <v>3</v>
      </c>
      <c r="I17" s="31">
        <f>Tableau271243[[#This Row],[Temps déclaré]]*$B$10</f>
        <v>105</v>
      </c>
      <c r="J17" s="31">
        <f>Tableau271243[[#This Row],[Temps déclaré]]*$B$10</f>
        <v>105</v>
      </c>
      <c r="K17" s="28">
        <f>Tableau271243[[#This Row],[Temps déclaré]]*$B$11</f>
        <v>134.39999999999998</v>
      </c>
      <c r="L17" s="32">
        <v>2</v>
      </c>
      <c r="M17" s="33">
        <f>$F$5*$F$6*Tableau271243[[#This Row],[Nombre de déplacements]]</f>
        <v>22.896000000000001</v>
      </c>
      <c r="N17" s="28">
        <f>SUM(Tableau271243[[#This Row],[Paiement effectué]],Tableau271243[[#This Row],[Frais de déplacement]])</f>
        <v>127.896</v>
      </c>
      <c r="O17"/>
    </row>
    <row r="18" spans="1:15" s="25" customFormat="1" ht="18">
      <c r="A18" s="25">
        <v>2025</v>
      </c>
      <c r="B18" s="42">
        <f>EDATE($B$14,Tableau271243[[#This Row],[N° mois]]-$C$14)</f>
        <v>45668</v>
      </c>
      <c r="C18" s="25">
        <f t="shared" si="0"/>
        <v>1</v>
      </c>
      <c r="D18" s="29"/>
      <c r="E18" s="29">
        <f>Tableau271243[[#This Row],[Temps réel]]-INT(Tableau271243[[#This Row],[Temps réel]])</f>
        <v>0</v>
      </c>
      <c r="F18" s="30">
        <f>IF(Tableau271243[[#This Row],[Cumul du temps à reporter]]&lt;1,0,1)</f>
        <v>0</v>
      </c>
      <c r="G18" s="30" cm="1">
        <f t="array" ref="G18">_xlfn.IFS(E18&lt;1,INT(D18),E18&gt;1,INT(D18)+1)</f>
        <v>0</v>
      </c>
      <c r="H18" s="30"/>
      <c r="I18" s="31">
        <f>Tableau271243[[#This Row],[Temps déclaré]]*$B$10</f>
        <v>0</v>
      </c>
      <c r="J18" s="31">
        <f>Tableau271243[[#This Row],[Temps déclaré]]*$B$10</f>
        <v>0</v>
      </c>
      <c r="K18" s="28">
        <f>Tableau271243[[#This Row],[Temps déclaré]]*$B$11</f>
        <v>0</v>
      </c>
      <c r="L18" s="32"/>
      <c r="M18" s="33">
        <f>$F$5*$F$6*Tableau271243[[#This Row],[Nombre de déplacements]]</f>
        <v>0</v>
      </c>
      <c r="N18" s="28">
        <f>SUM(Tableau271243[[#This Row],[Paiement effectué]],Tableau271243[[#This Row],[Frais de déplacement]])</f>
        <v>0</v>
      </c>
      <c r="O18"/>
    </row>
    <row r="19" spans="1:15" s="25" customFormat="1" ht="18">
      <c r="A19" s="25">
        <v>2026</v>
      </c>
      <c r="B19" s="42">
        <f>EDATE($B$14,Tableau271243[[#This Row],[N° mois]]-$C$14)</f>
        <v>45699</v>
      </c>
      <c r="C19" s="25">
        <f t="shared" si="0"/>
        <v>2</v>
      </c>
      <c r="D19" s="29"/>
      <c r="E19" s="29">
        <f>Tableau271243[[#This Row],[Temps réel]]-INT(Tableau271243[[#This Row],[Temps réel]])</f>
        <v>0</v>
      </c>
      <c r="F19" s="30">
        <f>IF(Tableau271243[[#This Row],[Cumul du temps à reporter]]&lt;1,0,1)</f>
        <v>0</v>
      </c>
      <c r="G19" s="30" cm="1">
        <f t="array" ref="G19">_xlfn.IFS(E19&lt;1,INT(D19),E19&gt;1,INT(D19)+1)</f>
        <v>0</v>
      </c>
      <c r="H19" s="30"/>
      <c r="I19" s="31">
        <f>Tableau271243[[#This Row],[Temps déclaré]]*$B$10</f>
        <v>0</v>
      </c>
      <c r="J19" s="31">
        <f>Tableau271243[[#This Row],[Temps déclaré]]*$B$10</f>
        <v>0</v>
      </c>
      <c r="K19" s="28">
        <f>Tableau271243[[#This Row],[Temps déclaré]]*$B$11</f>
        <v>0</v>
      </c>
      <c r="L19" s="32"/>
      <c r="M19" s="33">
        <f>$F$5*$F$6*Tableau271243[[#This Row],[Nombre de déplacements]]</f>
        <v>0</v>
      </c>
      <c r="N19" s="28">
        <f>SUM(Tableau271243[[#This Row],[Paiement effectué]],Tableau271243[[#This Row],[Frais de déplacement]])</f>
        <v>0</v>
      </c>
      <c r="O19"/>
    </row>
    <row r="20" spans="1:15" s="25" customFormat="1" ht="18">
      <c r="A20" s="25">
        <v>2026</v>
      </c>
      <c r="B20" s="42">
        <f>EDATE($B$14,Tableau271243[[#This Row],[N° mois]]-$C$14)</f>
        <v>45727</v>
      </c>
      <c r="C20" s="25">
        <f t="shared" si="0"/>
        <v>3</v>
      </c>
      <c r="D20" s="29"/>
      <c r="E20" s="29">
        <f>Tableau271243[[#This Row],[Temps réel]]-INT(Tableau271243[[#This Row],[Temps réel]])</f>
        <v>0</v>
      </c>
      <c r="F20" s="30">
        <f>IF(Tableau271243[[#This Row],[Cumul du temps à reporter]]&lt;1,0,1)</f>
        <v>0</v>
      </c>
      <c r="G20" s="30" cm="1">
        <f t="array" ref="G20">_xlfn.IFS(E20&lt;1,INT(D20),E20&gt;1,INT(D20)+1)</f>
        <v>0</v>
      </c>
      <c r="H20" s="30"/>
      <c r="I20" s="31">
        <f>Tableau271243[[#This Row],[Temps déclaré]]*$B$10</f>
        <v>0</v>
      </c>
      <c r="J20" s="31">
        <f>Tableau271243[[#This Row],[Temps déclaré]]*$B$10</f>
        <v>0</v>
      </c>
      <c r="K20" s="28">
        <f>Tableau271243[[#This Row],[Temps déclaré]]*$B$11</f>
        <v>0</v>
      </c>
      <c r="L20" s="32"/>
      <c r="M20" s="33">
        <f>$F$5*$F$6*Tableau271243[[#This Row],[Nombre de déplacements]]</f>
        <v>0</v>
      </c>
      <c r="N20" s="28">
        <f>SUM(Tableau271243[[#This Row],[Paiement effectué]],Tableau271243[[#This Row],[Frais de déplacement]])</f>
        <v>0</v>
      </c>
      <c r="O20"/>
    </row>
    <row r="21" spans="1:15" s="25" customFormat="1" ht="18">
      <c r="A21" s="25">
        <v>2026</v>
      </c>
      <c r="B21" s="42">
        <f>EDATE($B$14,Tableau271243[[#This Row],[N° mois]]-$C$14)</f>
        <v>45758</v>
      </c>
      <c r="C21" s="25">
        <f t="shared" si="0"/>
        <v>4</v>
      </c>
      <c r="D21" s="29"/>
      <c r="E21" s="29">
        <f>Tableau271243[[#This Row],[Temps réel]]-INT(Tableau271243[[#This Row],[Temps réel]])</f>
        <v>0</v>
      </c>
      <c r="F21" s="30">
        <f>IF(Tableau271243[[#This Row],[Cumul du temps à reporter]]&lt;1,0,1)</f>
        <v>0</v>
      </c>
      <c r="G21" s="30" cm="1">
        <f t="array" ref="G21">_xlfn.IFS(E21&lt;1,INT(D21),E21&gt;1,INT(D21)+1)</f>
        <v>0</v>
      </c>
      <c r="H21" s="30"/>
      <c r="I21" s="31">
        <f>Tableau271243[[#This Row],[Temps déclaré]]*$B$10</f>
        <v>0</v>
      </c>
      <c r="J21" s="31">
        <f>Tableau271243[[#This Row],[Temps déclaré]]*$B$10</f>
        <v>0</v>
      </c>
      <c r="K21" s="28">
        <f>Tableau271243[[#This Row],[Temps déclaré]]*$B$11</f>
        <v>0</v>
      </c>
      <c r="L21" s="32"/>
      <c r="M21" s="33">
        <f>$F$5*$F$6*Tableau271243[[#This Row],[Nombre de déplacements]]</f>
        <v>0</v>
      </c>
      <c r="N21" s="28">
        <f>SUM(Tableau271243[[#This Row],[Paiement effectué]],Tableau271243[[#This Row],[Frais de déplacement]])</f>
        <v>0</v>
      </c>
      <c r="O21"/>
    </row>
    <row r="22" spans="1:15" s="25" customFormat="1" ht="18">
      <c r="A22" s="25">
        <v>2026</v>
      </c>
      <c r="B22" s="42">
        <f>EDATE($B$14,Tableau271243[[#This Row],[N° mois]]-$C$14)</f>
        <v>45788</v>
      </c>
      <c r="C22" s="25">
        <f t="shared" si="0"/>
        <v>5</v>
      </c>
      <c r="D22" s="29"/>
      <c r="E22" s="29">
        <f>Tableau271243[[#This Row],[Temps réel]]-INT(Tableau271243[[#This Row],[Temps réel]])</f>
        <v>0</v>
      </c>
      <c r="F22" s="30">
        <f>IF(Tableau271243[[#This Row],[Cumul du temps à reporter]]&lt;1,0,1)</f>
        <v>0</v>
      </c>
      <c r="G22" s="30" cm="1">
        <f t="array" ref="G22">_xlfn.IFS(E22&lt;1,INT(D22),E22&gt;1,INT(D22)+1)</f>
        <v>0</v>
      </c>
      <c r="H22" s="30"/>
      <c r="I22" s="31">
        <f>Tableau271243[[#This Row],[Temps déclaré]]*$B$10</f>
        <v>0</v>
      </c>
      <c r="J22" s="31">
        <f>Tableau271243[[#This Row],[Temps déclaré]]*$B$10</f>
        <v>0</v>
      </c>
      <c r="K22" s="28">
        <f>Tableau271243[[#This Row],[Temps déclaré]]*$B$11</f>
        <v>0</v>
      </c>
      <c r="L22" s="32"/>
      <c r="M22" s="33">
        <f>$F$5*$F$6*Tableau271243[[#This Row],[Nombre de déplacements]]</f>
        <v>0</v>
      </c>
      <c r="N22" s="28">
        <f>SUM(Tableau271243[[#This Row],[Paiement effectué]],Tableau271243[[#This Row],[Frais de déplacement]])</f>
        <v>0</v>
      </c>
      <c r="O22"/>
    </row>
    <row r="23" spans="1:15" s="25" customFormat="1" ht="18">
      <c r="A23" s="25">
        <v>2026</v>
      </c>
      <c r="B23" s="42">
        <f>EDATE($B$14,Tableau271243[[#This Row],[N° mois]]-$C$14)</f>
        <v>45819</v>
      </c>
      <c r="C23" s="25">
        <f t="shared" si="0"/>
        <v>6</v>
      </c>
      <c r="D23" s="29"/>
      <c r="E23" s="29">
        <f>Tableau271243[[#This Row],[Temps réel]]-INT(Tableau271243[[#This Row],[Temps réel]])</f>
        <v>0</v>
      </c>
      <c r="F23" s="30">
        <f>IF(Tableau271243[[#This Row],[Cumul du temps à reporter]]&lt;1,0,1)</f>
        <v>0</v>
      </c>
      <c r="G23" s="30" cm="1">
        <f t="array" ref="G23">_xlfn.IFS(E23&lt;1,INT(D23),E23&gt;1,INT(D23)+1)</f>
        <v>0</v>
      </c>
      <c r="H23" s="30"/>
      <c r="I23" s="31">
        <f>Tableau271243[[#This Row],[Temps déclaré]]*$B$10</f>
        <v>0</v>
      </c>
      <c r="J23" s="31">
        <f>Tableau271243[[#This Row],[Temps déclaré]]*$B$10</f>
        <v>0</v>
      </c>
      <c r="K23" s="28">
        <f>Tableau271243[[#This Row],[Temps déclaré]]*$B$11</f>
        <v>0</v>
      </c>
      <c r="L23" s="32"/>
      <c r="M23" s="33">
        <f>$F$5*$F$6*Tableau271243[[#This Row],[Nombre de déplacements]]</f>
        <v>0</v>
      </c>
      <c r="N23" s="28">
        <f>SUM(Tableau271243[[#This Row],[Paiement effectué]],Tableau271243[[#This Row],[Frais de déplacement]])</f>
        <v>0</v>
      </c>
      <c r="O23"/>
    </row>
    <row r="24" spans="1:15" s="25" customFormat="1" ht="18">
      <c r="A24" s="25">
        <v>2026</v>
      </c>
      <c r="B24" s="42">
        <f>EDATE($B$14,Tableau271243[[#This Row],[N° mois]]-$C$14)</f>
        <v>45849</v>
      </c>
      <c r="C24" s="25">
        <f t="shared" si="0"/>
        <v>7</v>
      </c>
      <c r="D24" s="29"/>
      <c r="E24" s="29">
        <f>Tableau271243[[#This Row],[Temps réel]]-INT(Tableau271243[[#This Row],[Temps réel]])</f>
        <v>0</v>
      </c>
      <c r="F24" s="30">
        <f>IF(Tableau271243[[#This Row],[Cumul du temps à reporter]]&lt;1,0,1)</f>
        <v>0</v>
      </c>
      <c r="G24" s="30" cm="1">
        <f t="array" ref="G24">_xlfn.IFS(E24&lt;1,INT(D24),E24&gt;1,INT(D24)+1)</f>
        <v>0</v>
      </c>
      <c r="H24" s="30"/>
      <c r="I24" s="31">
        <f>Tableau271243[[#This Row],[Temps déclaré]]*$B$10</f>
        <v>0</v>
      </c>
      <c r="J24" s="31">
        <f>Tableau271243[[#This Row],[Temps déclaré]]*$B$10</f>
        <v>0</v>
      </c>
      <c r="K24" s="28">
        <f>Tableau271243[[#This Row],[Temps déclaré]]*$B$11</f>
        <v>0</v>
      </c>
      <c r="L24" s="32"/>
      <c r="M24" s="33">
        <f>$F$5*$F$6*Tableau271243[[#This Row],[Nombre de déplacements]]</f>
        <v>0</v>
      </c>
      <c r="N24" s="28">
        <f>SUM(Tableau271243[[#This Row],[Paiement effectué]],Tableau271243[[#This Row],[Frais de déplacement]])</f>
        <v>0</v>
      </c>
      <c r="O24"/>
    </row>
    <row r="25" spans="1:15" ht="18">
      <c r="A25" s="25" t="s">
        <v>167</v>
      </c>
      <c r="B25" s="25"/>
      <c r="C25" s="25"/>
      <c r="D25" s="29">
        <f>SUBTOTAL(109,Tableau271243[Temps réel])</f>
        <v>12.79</v>
      </c>
      <c r="E25" s="25"/>
      <c r="F25" s="25"/>
      <c r="G25" s="30">
        <f>SUBTOTAL(109,Tableau271243[Temps rémunéré])</f>
        <v>13</v>
      </c>
      <c r="H25" s="30">
        <f>SUBTOTAL(109,Tableau271243[Temps déclaré])</f>
        <v>13</v>
      </c>
      <c r="I25" s="34">
        <f>SUBTOTAL(109,Tableau271243[Paiement effectué])</f>
        <v>455</v>
      </c>
      <c r="J25" s="34">
        <f>SUBTOTAL(109,Tableau271243[Salaire net])</f>
        <v>455</v>
      </c>
      <c r="K25" s="35">
        <f>SUBTOTAL(109,Tableau271243[Salaire brut])</f>
        <v>582.4</v>
      </c>
      <c r="L25" s="30"/>
      <c r="M25" s="33">
        <f>SUBTOTAL(109,Tableau271243[Frais de déplacement])</f>
        <v>114.48</v>
      </c>
      <c r="N25" s="35">
        <f>SUBTOTAL(109,Tableau271243[Total])</f>
        <v>569.48</v>
      </c>
    </row>
    <row r="26" spans="1:15" ht="18">
      <c r="A26" s="25"/>
      <c r="B26" s="25"/>
      <c r="C26" s="25"/>
      <c r="D26" s="25"/>
      <c r="E26" s="25"/>
      <c r="F26" s="25"/>
      <c r="G26" s="25"/>
      <c r="H26" s="25"/>
      <c r="I26" s="25"/>
      <c r="J26" s="25"/>
      <c r="K26" s="25"/>
      <c r="L26" s="25"/>
      <c r="M26" s="25"/>
      <c r="N26" s="25"/>
    </row>
    <row r="27" spans="1:15" ht="18">
      <c r="A27" s="36" t="s">
        <v>204</v>
      </c>
      <c r="B27" s="37">
        <v>46014</v>
      </c>
      <c r="C27" s="25"/>
      <c r="D27" s="25"/>
      <c r="E27" s="25"/>
      <c r="F27" s="25"/>
      <c r="G27" s="25"/>
      <c r="H27" s="25"/>
      <c r="I27" s="25"/>
      <c r="J27" s="25"/>
      <c r="K27" s="25"/>
      <c r="L27" s="25"/>
      <c r="M27" s="25"/>
      <c r="N27" s="25"/>
    </row>
    <row r="28" spans="1:15" ht="18">
      <c r="A28" s="36" t="s">
        <v>205</v>
      </c>
      <c r="B28" s="39">
        <v>3</v>
      </c>
      <c r="C28" s="25"/>
      <c r="D28" s="25"/>
      <c r="E28" s="25"/>
      <c r="F28" s="25"/>
      <c r="G28" s="25"/>
      <c r="H28" s="25"/>
      <c r="I28" s="25"/>
      <c r="J28" s="25"/>
      <c r="K28" s="25"/>
      <c r="L28" s="25"/>
      <c r="M28" s="25"/>
      <c r="N28" s="25"/>
    </row>
    <row r="29" spans="1:15" ht="18">
      <c r="A29" s="36" t="s">
        <v>203</v>
      </c>
      <c r="B29" s="33">
        <f>M17</f>
        <v>22.896000000000001</v>
      </c>
      <c r="C29" s="25"/>
      <c r="D29" s="25"/>
      <c r="E29" s="25"/>
      <c r="F29" s="25"/>
      <c r="G29" s="25"/>
      <c r="H29" s="25"/>
      <c r="I29" s="25"/>
      <c r="J29" s="25"/>
      <c r="K29" s="25"/>
      <c r="L29" s="25"/>
      <c r="M29" s="25"/>
      <c r="N29" s="25"/>
    </row>
    <row r="30" spans="1:15" ht="18">
      <c r="A30" s="25"/>
      <c r="B30" s="25"/>
      <c r="C30" s="25"/>
      <c r="D30" s="25"/>
      <c r="E30" s="25"/>
      <c r="F30" s="25"/>
      <c r="G30" s="25"/>
      <c r="H30" s="25"/>
      <c r="I30" s="25"/>
      <c r="J30" s="25"/>
      <c r="K30" s="25"/>
      <c r="L30" s="25"/>
      <c r="M30" s="25"/>
      <c r="N30" s="25"/>
    </row>
  </sheetData>
  <mergeCells count="1">
    <mergeCell ref="A1:N2"/>
  </mergeCells>
  <conditionalFormatting sqref="F14:F24">
    <cfRule type="cellIs" dxfId="121" priority="1" operator="equal">
      <formula>1</formula>
    </cfRule>
  </conditionalFormatting>
  <pageMargins left="0.7" right="0.7" top="0.75" bottom="0.75" header="0.3" footer="0.3"/>
  <pageSetup paperSize="9" scale="46"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0333A-DACB-4B64-9F12-1AD4181512A4}">
  <sheetPr>
    <pageSetUpPr fitToPage="1"/>
  </sheetPr>
  <dimension ref="A1:N29"/>
  <sheetViews>
    <sheetView zoomScale="85" zoomScaleNormal="85" workbookViewId="0">
      <selection activeCell="D17" sqref="D17"/>
    </sheetView>
  </sheetViews>
  <sheetFormatPr defaultColWidth="11.42578125" defaultRowHeight="14.45"/>
  <cols>
    <col min="1" max="1" width="32.140625" bestFit="1" customWidth="1"/>
    <col min="2" max="2" width="20.7109375" bestFit="1" customWidth="1"/>
    <col min="3" max="3" width="12.42578125" hidden="1" customWidth="1"/>
    <col min="4" max="4" width="15.85546875" bestFit="1" customWidth="1"/>
    <col min="5" max="5" width="41.7109375" bestFit="1" customWidth="1"/>
    <col min="6" max="6" width="23" bestFit="1" customWidth="1"/>
    <col min="7" max="7" width="22.7109375" bestFit="1" customWidth="1"/>
    <col min="8" max="8" width="19.85546875" bestFit="1" customWidth="1"/>
    <col min="9" max="9" width="24.42578125" bestFit="1" customWidth="1"/>
    <col min="10" max="10" width="15.7109375" bestFit="1" customWidth="1"/>
    <col min="11" max="11" width="16.7109375" bestFit="1" customWidth="1"/>
    <col min="12" max="12" width="33.28515625" bestFit="1" customWidth="1"/>
    <col min="13" max="13" width="28" bestFit="1" customWidth="1"/>
    <col min="14" max="14" width="12.28515625" bestFit="1" customWidth="1"/>
  </cols>
  <sheetData>
    <row r="1" spans="1:14">
      <c r="A1" s="47" t="s">
        <v>206</v>
      </c>
      <c r="B1" s="47"/>
      <c r="C1" s="47"/>
      <c r="D1" s="47"/>
      <c r="E1" s="47"/>
      <c r="F1" s="47"/>
      <c r="G1" s="47"/>
      <c r="H1" s="47"/>
      <c r="I1" s="47"/>
      <c r="J1" s="47"/>
      <c r="K1" s="47"/>
      <c r="L1" s="47"/>
      <c r="M1" s="47"/>
      <c r="N1" s="47"/>
    </row>
    <row r="2" spans="1:14">
      <c r="A2" s="47"/>
      <c r="B2" s="47"/>
      <c r="C2" s="47"/>
      <c r="D2" s="47"/>
      <c r="E2" s="47"/>
      <c r="F2" s="47"/>
      <c r="G2" s="47"/>
      <c r="H2" s="47"/>
      <c r="I2" s="47"/>
      <c r="J2" s="47"/>
      <c r="K2" s="47"/>
      <c r="L2" s="47"/>
      <c r="M2" s="47"/>
      <c r="N2" s="47"/>
    </row>
    <row r="3" spans="1:14" ht="18">
      <c r="A3" s="38" t="s">
        <v>182</v>
      </c>
      <c r="B3" s="38" t="s">
        <v>207</v>
      </c>
      <c r="C3" s="24"/>
      <c r="D3" s="24"/>
      <c r="E3" s="24"/>
      <c r="F3" s="24"/>
      <c r="G3" s="24"/>
      <c r="H3" s="24"/>
      <c r="I3" s="24"/>
      <c r="J3" s="24"/>
      <c r="K3" s="24"/>
    </row>
    <row r="4" spans="1:14" ht="18">
      <c r="A4" s="24"/>
      <c r="B4" s="24"/>
      <c r="C4" s="24"/>
      <c r="D4" s="24"/>
      <c r="E4" s="24"/>
      <c r="F4" s="24"/>
      <c r="G4" s="24"/>
      <c r="H4" s="24"/>
      <c r="I4" s="24"/>
      <c r="J4" s="24"/>
      <c r="K4" s="24"/>
      <c r="L4" s="25"/>
      <c r="M4" s="25"/>
      <c r="N4" s="25"/>
    </row>
    <row r="5" spans="1:14" ht="18">
      <c r="A5" s="25" t="s">
        <v>184</v>
      </c>
      <c r="B5" s="25" t="s">
        <v>208</v>
      </c>
      <c r="C5" s="25"/>
      <c r="D5" s="25"/>
      <c r="E5" s="25" t="s">
        <v>186</v>
      </c>
      <c r="F5" s="25">
        <v>20</v>
      </c>
      <c r="G5" s="25"/>
      <c r="H5" s="25"/>
      <c r="I5" s="25"/>
      <c r="J5" s="25"/>
      <c r="K5" s="25"/>
      <c r="L5" s="25"/>
      <c r="M5" s="25"/>
      <c r="N5" s="25"/>
    </row>
    <row r="6" spans="1:14" ht="18">
      <c r="A6" s="25"/>
      <c r="B6" s="25"/>
      <c r="C6" s="25"/>
      <c r="D6" s="25"/>
      <c r="E6" s="25" t="s">
        <v>187</v>
      </c>
      <c r="F6" s="26">
        <f>0.636</f>
        <v>0.63600000000000001</v>
      </c>
      <c r="G6" s="25"/>
      <c r="H6" s="25"/>
      <c r="I6" s="25"/>
      <c r="J6" s="25"/>
      <c r="K6" s="25"/>
      <c r="L6" s="25"/>
      <c r="M6" s="25"/>
      <c r="N6" s="25"/>
    </row>
    <row r="7" spans="1:14" ht="18">
      <c r="A7" s="25" t="s">
        <v>188</v>
      </c>
      <c r="B7" s="27">
        <v>45945</v>
      </c>
      <c r="C7" s="25"/>
      <c r="D7" s="25"/>
      <c r="E7" s="25"/>
      <c r="F7" s="25"/>
      <c r="G7" s="25"/>
      <c r="H7" s="25"/>
      <c r="I7" s="25"/>
      <c r="J7" s="25"/>
      <c r="K7" s="25"/>
      <c r="L7" s="25"/>
      <c r="M7" s="25"/>
      <c r="N7" s="25"/>
    </row>
    <row r="8" spans="1:14" ht="18">
      <c r="A8" s="25" t="s">
        <v>189</v>
      </c>
      <c r="B8" s="25"/>
      <c r="C8" s="25"/>
      <c r="D8" s="25"/>
      <c r="E8" s="25"/>
      <c r="F8" s="25"/>
      <c r="G8" s="25"/>
      <c r="H8" s="25"/>
      <c r="I8" s="25"/>
      <c r="J8" s="25"/>
      <c r="K8" s="25"/>
      <c r="L8" s="25"/>
      <c r="M8" s="25"/>
      <c r="N8" s="25"/>
    </row>
    <row r="9" spans="1:14" ht="18">
      <c r="A9" s="25"/>
      <c r="B9" s="25"/>
      <c r="C9" s="25"/>
      <c r="D9" s="25"/>
      <c r="E9" s="25"/>
      <c r="F9" s="25"/>
      <c r="G9" s="25"/>
      <c r="H9" s="25"/>
      <c r="I9" s="25"/>
      <c r="J9" s="25"/>
      <c r="K9" s="25"/>
      <c r="L9" s="25"/>
      <c r="M9" s="25"/>
      <c r="N9" s="25"/>
    </row>
    <row r="10" spans="1:14" ht="18">
      <c r="A10" s="25" t="s">
        <v>190</v>
      </c>
      <c r="B10" s="28">
        <v>40</v>
      </c>
      <c r="C10" s="25"/>
      <c r="D10" s="25"/>
      <c r="E10" s="25"/>
      <c r="F10" s="25"/>
      <c r="G10" s="25"/>
      <c r="H10" s="25"/>
      <c r="I10" s="25"/>
      <c r="J10" s="25"/>
      <c r="K10" s="25"/>
      <c r="L10" s="25"/>
      <c r="M10" s="25"/>
      <c r="N10" s="25"/>
    </row>
    <row r="11" spans="1:14" ht="18">
      <c r="A11" s="25" t="s">
        <v>191</v>
      </c>
      <c r="B11" s="28">
        <v>44.8</v>
      </c>
      <c r="C11" s="25"/>
      <c r="D11" s="25"/>
      <c r="E11" s="25"/>
      <c r="F11" s="25"/>
      <c r="G11" s="25"/>
      <c r="H11" s="25"/>
      <c r="I11" s="25"/>
      <c r="J11" s="25"/>
      <c r="K11" s="25"/>
      <c r="L11" s="25"/>
      <c r="M11" s="25"/>
      <c r="N11" s="25"/>
    </row>
    <row r="12" spans="1:14" ht="18">
      <c r="A12" s="25"/>
      <c r="B12" s="28"/>
      <c r="C12" s="25"/>
      <c r="D12" s="25"/>
      <c r="E12" s="25"/>
      <c r="F12" s="25"/>
      <c r="G12" s="25"/>
      <c r="H12" s="25"/>
      <c r="I12" s="25"/>
      <c r="J12" s="25"/>
      <c r="K12" s="25"/>
      <c r="L12" s="25"/>
      <c r="M12" s="25"/>
      <c r="N12" s="25"/>
    </row>
    <row r="13" spans="1:14" ht="18">
      <c r="A13" s="25" t="s">
        <v>192</v>
      </c>
      <c r="B13" s="25" t="s">
        <v>6</v>
      </c>
      <c r="C13" s="25" t="s">
        <v>193</v>
      </c>
      <c r="D13" s="25" t="s">
        <v>194</v>
      </c>
      <c r="E13" s="25" t="s">
        <v>195</v>
      </c>
      <c r="F13" s="25" t="s">
        <v>196</v>
      </c>
      <c r="G13" s="25" t="s">
        <v>197</v>
      </c>
      <c r="H13" s="25" t="s">
        <v>198</v>
      </c>
      <c r="I13" s="25" t="s">
        <v>199</v>
      </c>
      <c r="J13" s="25" t="s">
        <v>200</v>
      </c>
      <c r="K13" s="25" t="s">
        <v>201</v>
      </c>
      <c r="L13" s="25" t="s">
        <v>202</v>
      </c>
      <c r="M13" s="25" t="s">
        <v>203</v>
      </c>
      <c r="N13" s="25" t="s">
        <v>167</v>
      </c>
    </row>
    <row r="14" spans="1:14" ht="18">
      <c r="A14" s="25">
        <v>2025</v>
      </c>
      <c r="B14" s="42">
        <f>B7</f>
        <v>45945</v>
      </c>
      <c r="C14" s="25">
        <f>MONTH(B7)</f>
        <v>10</v>
      </c>
      <c r="D14" s="29">
        <v>1.65</v>
      </c>
      <c r="E14" s="29">
        <f>Tableau2712436[[#This Row],[Temps réel]]-INT(Tableau2712436[[#This Row],[Temps réel]])</f>
        <v>0.64999999999999991</v>
      </c>
      <c r="F14" s="30">
        <f>IF(Tableau2712436[[#This Row],[Cumul du temps à reporter]]&lt;1,0,1)</f>
        <v>0</v>
      </c>
      <c r="G14" s="30" cm="1">
        <f t="array" ref="G14">_xlfn.IFS(E14&lt;1,INT(D14),E14&gt;1,INT(D14)+1)</f>
        <v>1</v>
      </c>
      <c r="H14" s="30">
        <v>1</v>
      </c>
      <c r="I14" s="31">
        <f>Tableau2712436[[#This Row],[Temps déclaré]]*$B$10</f>
        <v>40</v>
      </c>
      <c r="J14" s="31">
        <f>Tableau2712436[[#This Row],[Temps déclaré]]*$B$10</f>
        <v>40</v>
      </c>
      <c r="K14" s="28">
        <f>Tableau2712436[[#This Row],[Temps déclaré]]*$B$11</f>
        <v>44.8</v>
      </c>
      <c r="L14" s="32">
        <v>1</v>
      </c>
      <c r="M14" s="33">
        <f>$F$5*$F$6*Tableau2712436[[#This Row],[Nombre de déplacements]]</f>
        <v>12.72</v>
      </c>
      <c r="N14" s="28">
        <f>SUM(Tableau2712436[[#This Row],[Paiement effectué]],Tableau2712436[[#This Row],[Frais de déplacement]])</f>
        <v>52.72</v>
      </c>
    </row>
    <row r="15" spans="1:14" ht="18">
      <c r="A15" s="25">
        <v>2025</v>
      </c>
      <c r="B15" s="42">
        <f>EDATE($B$14,Tableau2712436[[#This Row],[N° mois]]-$C$14)</f>
        <v>45976</v>
      </c>
      <c r="C15" s="25">
        <f>IF(C14&lt;12,$C14+1,1)</f>
        <v>11</v>
      </c>
      <c r="D15" s="29">
        <v>1</v>
      </c>
      <c r="E15" s="29">
        <f>Tableau2712436[[#This Row],[Temps réel]]-INT(Tableau2712436[[#This Row],[Temps réel]])+E14</f>
        <v>0.64999999999999991</v>
      </c>
      <c r="F15" s="30">
        <f>IF(Tableau2712436[[#This Row],[Cumul du temps à reporter]]&lt;1,0,1)</f>
        <v>0</v>
      </c>
      <c r="G15" s="30" cm="1">
        <f t="array" ref="G15">_xlfn.IFS(E15&lt;1,INT(D15),E15&gt;1,INT(D15)+1)</f>
        <v>1</v>
      </c>
      <c r="H15" s="30">
        <v>1</v>
      </c>
      <c r="I15" s="31">
        <f>Tableau2712436[[#This Row],[Temps déclaré]]*$B$10</f>
        <v>40</v>
      </c>
      <c r="J15" s="31">
        <f>Tableau2712436[[#This Row],[Temps déclaré]]*$B$10</f>
        <v>40</v>
      </c>
      <c r="K15" s="28">
        <f>Tableau2712436[[#This Row],[Temps déclaré]]*$B$11</f>
        <v>44.8</v>
      </c>
      <c r="L15" s="32">
        <v>1</v>
      </c>
      <c r="M15" s="33">
        <f>$F$5*$F$6*Tableau2712436[[#This Row],[Nombre de déplacements]]</f>
        <v>12.72</v>
      </c>
      <c r="N15" s="28">
        <f>SUM(Tableau2712436[[#This Row],[Paiement effectué]],Tableau2712436[[#This Row],[Frais de déplacement]])</f>
        <v>52.72</v>
      </c>
    </row>
    <row r="16" spans="1:14" ht="18">
      <c r="A16" s="25">
        <v>2025</v>
      </c>
      <c r="B16" s="42">
        <f>EDATE($B$14,Tableau2712436[[#This Row],[N° mois]]-$C$14)</f>
        <v>46006</v>
      </c>
      <c r="C16" s="25">
        <f t="shared" ref="C16:C24" si="0">IF(C15&lt;12,$C15+1,1)</f>
        <v>12</v>
      </c>
      <c r="D16" s="29">
        <f>3+1*12/60</f>
        <v>3.2</v>
      </c>
      <c r="E16" s="29">
        <f>E15+Tableau2712436[[#This Row],[Temps réel]]-INT(Tableau2712436[[#This Row],[Temps réel]])</f>
        <v>0.85000000000000009</v>
      </c>
      <c r="F16" s="30">
        <f>IF(Tableau2712436[[#This Row],[Cumul du temps à reporter]]&lt;1,0,1)</f>
        <v>0</v>
      </c>
      <c r="G16" s="30" cm="1">
        <f t="array" ref="G16">_xlfn.IFS(E16&lt;1,INT(D16),E16&gt;1,INT(D16)+1)</f>
        <v>3</v>
      </c>
      <c r="H16" s="30">
        <v>3</v>
      </c>
      <c r="I16" s="31">
        <f>Tableau2712436[[#This Row],[Temps déclaré]]*$B$10</f>
        <v>120</v>
      </c>
      <c r="J16" s="31">
        <f>Tableau2712436[[#This Row],[Temps déclaré]]*$B$10</f>
        <v>120</v>
      </c>
      <c r="K16" s="28">
        <f>Tableau2712436[[#This Row],[Temps déclaré]]*$B$11</f>
        <v>134.39999999999998</v>
      </c>
      <c r="L16" s="32">
        <v>3</v>
      </c>
      <c r="M16" s="33">
        <f>$F$5*$F$6*Tableau2712436[[#This Row],[Nombre de déplacements]]</f>
        <v>38.160000000000004</v>
      </c>
      <c r="N16" s="28">
        <f>SUM(Tableau2712436[[#This Row],[Paiement effectué]],Tableau2712436[[#This Row],[Frais de déplacement]])</f>
        <v>158.16</v>
      </c>
    </row>
    <row r="17" spans="1:14" ht="18">
      <c r="A17" s="25">
        <v>2025</v>
      </c>
      <c r="B17" s="42">
        <f>EDATE($B$14,Tableau2712436[[#This Row],[N° mois]]-$C$14)</f>
        <v>45672</v>
      </c>
      <c r="C17" s="25">
        <f t="shared" si="0"/>
        <v>1</v>
      </c>
      <c r="D17" s="29"/>
      <c r="E17" s="29">
        <f>Tableau2712436[[#This Row],[Temps réel]]-INT(Tableau2712436[[#This Row],[Temps réel]])</f>
        <v>0</v>
      </c>
      <c r="F17" s="30">
        <f>IF(Tableau2712436[[#This Row],[Cumul du temps à reporter]]&lt;1,0,1)</f>
        <v>0</v>
      </c>
      <c r="G17" s="30" cm="1">
        <f t="array" ref="G17">_xlfn.IFS(E17&lt;1,INT(D17),E17&gt;1,INT(D17)+1)</f>
        <v>0</v>
      </c>
      <c r="H17" s="30"/>
      <c r="I17" s="31">
        <f>Tableau2712436[[#This Row],[Temps déclaré]]*$B$10</f>
        <v>0</v>
      </c>
      <c r="J17" s="31">
        <f>Tableau2712436[[#This Row],[Temps déclaré]]*$B$10</f>
        <v>0</v>
      </c>
      <c r="K17" s="28">
        <f>Tableau2712436[[#This Row],[Temps déclaré]]*$B$11</f>
        <v>0</v>
      </c>
      <c r="L17" s="32"/>
      <c r="M17" s="33">
        <f>$F$5*$F$6*Tableau2712436[[#This Row],[Nombre de déplacements]]</f>
        <v>0</v>
      </c>
      <c r="N17" s="28">
        <f>SUM(Tableau2712436[[#This Row],[Paiement effectué]],Tableau2712436[[#This Row],[Frais de déplacement]])</f>
        <v>0</v>
      </c>
    </row>
    <row r="18" spans="1:14" ht="18">
      <c r="A18" s="25">
        <v>2025</v>
      </c>
      <c r="B18" s="42">
        <f>EDATE($B$14,Tableau2712436[[#This Row],[N° mois]]-$C$14)</f>
        <v>45703</v>
      </c>
      <c r="C18" s="25">
        <f t="shared" si="0"/>
        <v>2</v>
      </c>
      <c r="D18" s="29"/>
      <c r="E18" s="29">
        <f>Tableau2712436[[#This Row],[Temps réel]]-INT(Tableau2712436[[#This Row],[Temps réel]])</f>
        <v>0</v>
      </c>
      <c r="F18" s="30">
        <f>IF(Tableau2712436[[#This Row],[Cumul du temps à reporter]]&lt;1,0,1)</f>
        <v>0</v>
      </c>
      <c r="G18" s="30" cm="1">
        <f t="array" ref="G18">_xlfn.IFS(E18&lt;1,INT(D18),E18&gt;1,INT(D18)+1)</f>
        <v>0</v>
      </c>
      <c r="H18" s="30"/>
      <c r="I18" s="31">
        <f>Tableau2712436[[#This Row],[Temps déclaré]]*$B$10</f>
        <v>0</v>
      </c>
      <c r="J18" s="31">
        <f>Tableau2712436[[#This Row],[Temps déclaré]]*$B$10</f>
        <v>0</v>
      </c>
      <c r="K18" s="28">
        <f>Tableau2712436[[#This Row],[Temps déclaré]]*$B$11</f>
        <v>0</v>
      </c>
      <c r="L18" s="32"/>
      <c r="M18" s="33">
        <f>$F$5*$F$6*Tableau2712436[[#This Row],[Nombre de déplacements]]</f>
        <v>0</v>
      </c>
      <c r="N18" s="28">
        <f>SUM(Tableau2712436[[#This Row],[Paiement effectué]],Tableau2712436[[#This Row],[Frais de déplacement]])</f>
        <v>0</v>
      </c>
    </row>
    <row r="19" spans="1:14" ht="18">
      <c r="A19" s="25">
        <v>2026</v>
      </c>
      <c r="B19" s="42">
        <f>EDATE($B$14,Tableau2712436[[#This Row],[N° mois]]-$C$14)</f>
        <v>45731</v>
      </c>
      <c r="C19" s="25">
        <f t="shared" si="0"/>
        <v>3</v>
      </c>
      <c r="D19" s="29"/>
      <c r="E19" s="29">
        <f>Tableau2712436[[#This Row],[Temps réel]]-INT(Tableau2712436[[#This Row],[Temps réel]])</f>
        <v>0</v>
      </c>
      <c r="F19" s="30">
        <f>IF(Tableau2712436[[#This Row],[Cumul du temps à reporter]]&lt;1,0,1)</f>
        <v>0</v>
      </c>
      <c r="G19" s="30" cm="1">
        <f t="array" ref="G19">_xlfn.IFS(E19&lt;1,INT(D19),E19&gt;1,INT(D19)+1)</f>
        <v>0</v>
      </c>
      <c r="H19" s="30"/>
      <c r="I19" s="31">
        <f>Tableau2712436[[#This Row],[Temps déclaré]]*$B$10</f>
        <v>0</v>
      </c>
      <c r="J19" s="31">
        <f>Tableau2712436[[#This Row],[Temps déclaré]]*$B$10</f>
        <v>0</v>
      </c>
      <c r="K19" s="28">
        <f>Tableau2712436[[#This Row],[Temps déclaré]]*$B$11</f>
        <v>0</v>
      </c>
      <c r="L19" s="32"/>
      <c r="M19" s="33">
        <f>$F$5*$F$6*Tableau2712436[[#This Row],[Nombre de déplacements]]</f>
        <v>0</v>
      </c>
      <c r="N19" s="28">
        <f>SUM(Tableau2712436[[#This Row],[Paiement effectué]],Tableau2712436[[#This Row],[Frais de déplacement]])</f>
        <v>0</v>
      </c>
    </row>
    <row r="20" spans="1:14" ht="18">
      <c r="A20" s="25">
        <v>2026</v>
      </c>
      <c r="B20" s="42">
        <f>EDATE($B$14,Tableau2712436[[#This Row],[N° mois]]-$C$14)</f>
        <v>45762</v>
      </c>
      <c r="C20" s="25">
        <f t="shared" si="0"/>
        <v>4</v>
      </c>
      <c r="D20" s="29"/>
      <c r="E20" s="29">
        <f>Tableau2712436[[#This Row],[Temps réel]]-INT(Tableau2712436[[#This Row],[Temps réel]])</f>
        <v>0</v>
      </c>
      <c r="F20" s="30">
        <f>IF(Tableau2712436[[#This Row],[Cumul du temps à reporter]]&lt;1,0,1)</f>
        <v>0</v>
      </c>
      <c r="G20" s="30" cm="1">
        <f t="array" ref="G20">_xlfn.IFS(E20&lt;1,INT(D20),E20&gt;1,INT(D20)+1)</f>
        <v>0</v>
      </c>
      <c r="H20" s="30"/>
      <c r="I20" s="31">
        <f>Tableau2712436[[#This Row],[Temps déclaré]]*$B$10</f>
        <v>0</v>
      </c>
      <c r="J20" s="31">
        <f>Tableau2712436[[#This Row],[Temps déclaré]]*$B$10</f>
        <v>0</v>
      </c>
      <c r="K20" s="28">
        <f>Tableau2712436[[#This Row],[Temps déclaré]]*$B$11</f>
        <v>0</v>
      </c>
      <c r="L20" s="32"/>
      <c r="M20" s="33">
        <f>$F$5*$F$6*Tableau2712436[[#This Row],[Nombre de déplacements]]</f>
        <v>0</v>
      </c>
      <c r="N20" s="28">
        <f>SUM(Tableau2712436[[#This Row],[Paiement effectué]],Tableau2712436[[#This Row],[Frais de déplacement]])</f>
        <v>0</v>
      </c>
    </row>
    <row r="21" spans="1:14" ht="18">
      <c r="A21" s="25">
        <v>2026</v>
      </c>
      <c r="B21" s="42">
        <f>EDATE($B$14,Tableau2712436[[#This Row],[N° mois]]-$C$14)</f>
        <v>45792</v>
      </c>
      <c r="C21" s="25">
        <f t="shared" si="0"/>
        <v>5</v>
      </c>
      <c r="D21" s="29"/>
      <c r="E21" s="29">
        <f>Tableau2712436[[#This Row],[Temps réel]]-INT(Tableau2712436[[#This Row],[Temps réel]])</f>
        <v>0</v>
      </c>
      <c r="F21" s="30">
        <f>IF(Tableau2712436[[#This Row],[Cumul du temps à reporter]]&lt;1,0,1)</f>
        <v>0</v>
      </c>
      <c r="G21" s="30" cm="1">
        <f t="array" ref="G21">_xlfn.IFS(E21&lt;1,INT(D21),E21&gt;1,INT(D21)+1)</f>
        <v>0</v>
      </c>
      <c r="H21" s="30"/>
      <c r="I21" s="31">
        <f>Tableau2712436[[#This Row],[Temps déclaré]]*$B$10</f>
        <v>0</v>
      </c>
      <c r="J21" s="31">
        <f>Tableau2712436[[#This Row],[Temps déclaré]]*$B$10</f>
        <v>0</v>
      </c>
      <c r="K21" s="28">
        <f>Tableau2712436[[#This Row],[Temps déclaré]]*$B$11</f>
        <v>0</v>
      </c>
      <c r="L21" s="32"/>
      <c r="M21" s="33">
        <f>$F$5*$F$6*Tableau2712436[[#This Row],[Nombre de déplacements]]</f>
        <v>0</v>
      </c>
      <c r="N21" s="28">
        <f>SUM(Tableau2712436[[#This Row],[Paiement effectué]],Tableau2712436[[#This Row],[Frais de déplacement]])</f>
        <v>0</v>
      </c>
    </row>
    <row r="22" spans="1:14" ht="18">
      <c r="A22" s="25">
        <v>2026</v>
      </c>
      <c r="B22" s="42">
        <f>EDATE($B$14,Tableau2712436[[#This Row],[N° mois]]-$C$14)</f>
        <v>45823</v>
      </c>
      <c r="C22" s="25">
        <f t="shared" si="0"/>
        <v>6</v>
      </c>
      <c r="D22" s="29"/>
      <c r="E22" s="29">
        <f>Tableau2712436[[#This Row],[Temps réel]]-INT(Tableau2712436[[#This Row],[Temps réel]])</f>
        <v>0</v>
      </c>
      <c r="F22" s="30">
        <f>IF(Tableau2712436[[#This Row],[Cumul du temps à reporter]]&lt;1,0,1)</f>
        <v>0</v>
      </c>
      <c r="G22" s="30" cm="1">
        <f t="array" ref="G22">_xlfn.IFS(E22&lt;1,INT(D22),E22&gt;1,INT(D22)+1)</f>
        <v>0</v>
      </c>
      <c r="H22" s="30"/>
      <c r="I22" s="31">
        <f>Tableau2712436[[#This Row],[Temps déclaré]]*$B$10</f>
        <v>0</v>
      </c>
      <c r="J22" s="31">
        <f>Tableau2712436[[#This Row],[Temps déclaré]]*$B$10</f>
        <v>0</v>
      </c>
      <c r="K22" s="28">
        <f>Tableau2712436[[#This Row],[Temps déclaré]]*$B$11</f>
        <v>0</v>
      </c>
      <c r="L22" s="32"/>
      <c r="M22" s="33">
        <f>$F$5*$F$6*Tableau2712436[[#This Row],[Nombre de déplacements]]</f>
        <v>0</v>
      </c>
      <c r="N22" s="28">
        <f>SUM(Tableau2712436[[#This Row],[Paiement effectué]],Tableau2712436[[#This Row],[Frais de déplacement]])</f>
        <v>0</v>
      </c>
    </row>
    <row r="23" spans="1:14" ht="18">
      <c r="A23" s="25">
        <v>2026</v>
      </c>
      <c r="B23" s="42">
        <f>EDATE($B$14,Tableau2712436[[#This Row],[N° mois]]-$C$14)</f>
        <v>45853</v>
      </c>
      <c r="C23" s="25">
        <f t="shared" si="0"/>
        <v>7</v>
      </c>
      <c r="D23" s="29"/>
      <c r="E23" s="29">
        <f>Tableau2712436[[#This Row],[Temps réel]]-INT(Tableau2712436[[#This Row],[Temps réel]])</f>
        <v>0</v>
      </c>
      <c r="F23" s="30">
        <f>IF(Tableau2712436[[#This Row],[Cumul du temps à reporter]]&lt;1,0,1)</f>
        <v>0</v>
      </c>
      <c r="G23" s="30" cm="1">
        <f t="array" ref="G23">_xlfn.IFS(E23&lt;1,INT(D23),E23&gt;1,INT(D23)+1)</f>
        <v>0</v>
      </c>
      <c r="H23" s="30"/>
      <c r="I23" s="31">
        <f>Tableau2712436[[#This Row],[Temps déclaré]]*$B$10</f>
        <v>0</v>
      </c>
      <c r="J23" s="31">
        <f>Tableau2712436[[#This Row],[Temps déclaré]]*$B$10</f>
        <v>0</v>
      </c>
      <c r="K23" s="28">
        <f>Tableau2712436[[#This Row],[Temps déclaré]]*$B$11</f>
        <v>0</v>
      </c>
      <c r="L23" s="32"/>
      <c r="M23" s="33">
        <f>$F$5*$F$6*Tableau2712436[[#This Row],[Nombre de déplacements]]</f>
        <v>0</v>
      </c>
      <c r="N23" s="28">
        <f>SUM(Tableau2712436[[#This Row],[Paiement effectué]],Tableau2712436[[#This Row],[Frais de déplacement]])</f>
        <v>0</v>
      </c>
    </row>
    <row r="24" spans="1:14" ht="18">
      <c r="A24" s="25">
        <v>2026</v>
      </c>
      <c r="B24" s="42">
        <f>EDATE($B$14,Tableau2712436[[#This Row],[N° mois]]-$C$14)</f>
        <v>45884</v>
      </c>
      <c r="C24" s="25">
        <f t="shared" si="0"/>
        <v>8</v>
      </c>
      <c r="D24" s="29"/>
      <c r="E24" s="29">
        <f>Tableau2712436[[#This Row],[Temps réel]]-INT(Tableau2712436[[#This Row],[Temps réel]])</f>
        <v>0</v>
      </c>
      <c r="F24" s="30">
        <f>IF(Tableau2712436[[#This Row],[Cumul du temps à reporter]]&lt;1,0,1)</f>
        <v>0</v>
      </c>
      <c r="G24" s="30" cm="1">
        <f t="array" ref="G24">_xlfn.IFS(E24&lt;1,INT(D24),E24&gt;1,INT(D24)+1)</f>
        <v>0</v>
      </c>
      <c r="H24" s="30"/>
      <c r="I24" s="31">
        <f>Tableau2712436[[#This Row],[Temps déclaré]]*$B$10</f>
        <v>0</v>
      </c>
      <c r="J24" s="31">
        <f>Tableau2712436[[#This Row],[Temps déclaré]]*$B$10</f>
        <v>0</v>
      </c>
      <c r="K24" s="28">
        <f>Tableau2712436[[#This Row],[Temps déclaré]]*$B$11</f>
        <v>0</v>
      </c>
      <c r="L24" s="32"/>
      <c r="M24" s="33">
        <f>$F$5*$F$6*Tableau2712436[[#This Row],[Nombre de déplacements]]</f>
        <v>0</v>
      </c>
      <c r="N24" s="28">
        <f>SUM(Tableau2712436[[#This Row],[Paiement effectué]],Tableau2712436[[#This Row],[Frais de déplacement]])</f>
        <v>0</v>
      </c>
    </row>
    <row r="25" spans="1:14" ht="18">
      <c r="A25" s="25" t="s">
        <v>167</v>
      </c>
      <c r="B25" s="25"/>
      <c r="C25" s="25"/>
      <c r="D25" s="29">
        <f>SUBTOTAL(109,Tableau2712436[Temps réel])</f>
        <v>5.85</v>
      </c>
      <c r="E25" s="25"/>
      <c r="F25" s="25"/>
      <c r="G25" s="30">
        <f>SUBTOTAL(109,Tableau2712436[Temps rémunéré])</f>
        <v>5</v>
      </c>
      <c r="H25" s="30">
        <f>SUBTOTAL(109,Tableau2712436[Temps déclaré])</f>
        <v>5</v>
      </c>
      <c r="I25" s="34">
        <f>SUBTOTAL(109,Tableau2712436[Paiement effectué])</f>
        <v>200</v>
      </c>
      <c r="J25" s="34">
        <f>SUBTOTAL(109,Tableau2712436[Salaire net])</f>
        <v>200</v>
      </c>
      <c r="K25" s="35">
        <f>SUBTOTAL(109,Tableau2712436[Salaire brut])</f>
        <v>223.99999999999997</v>
      </c>
      <c r="L25" s="30"/>
      <c r="M25" s="33">
        <f>SUBTOTAL(109,Tableau2712436[Frais de déplacement])</f>
        <v>63.600000000000009</v>
      </c>
      <c r="N25" s="35">
        <f>SUBTOTAL(109,Tableau2712436[Total])</f>
        <v>263.60000000000002</v>
      </c>
    </row>
    <row r="26" spans="1:14" ht="18">
      <c r="A26" s="25"/>
      <c r="B26" s="25"/>
      <c r="C26" s="25"/>
      <c r="D26" s="25"/>
      <c r="E26" s="25"/>
      <c r="F26" s="25"/>
      <c r="G26" s="25"/>
      <c r="H26" s="25"/>
      <c r="I26" s="25"/>
      <c r="J26" s="25"/>
      <c r="K26" s="25"/>
      <c r="L26" s="25"/>
      <c r="M26" s="25"/>
      <c r="N26" s="25"/>
    </row>
    <row r="27" spans="1:14" ht="18">
      <c r="A27" s="36" t="s">
        <v>204</v>
      </c>
      <c r="B27" s="37">
        <v>46014</v>
      </c>
      <c r="C27" s="25"/>
      <c r="D27" s="25"/>
      <c r="E27" s="25"/>
      <c r="F27" s="25"/>
      <c r="G27" s="25"/>
      <c r="H27" s="25"/>
      <c r="I27" s="25"/>
      <c r="J27" s="25"/>
      <c r="K27" s="25"/>
      <c r="L27" s="25"/>
      <c r="M27" s="25"/>
      <c r="N27" s="25"/>
    </row>
    <row r="28" spans="1:14" ht="18">
      <c r="A28" s="36" t="s">
        <v>205</v>
      </c>
      <c r="B28" s="39">
        <v>3</v>
      </c>
      <c r="C28" s="25"/>
      <c r="D28" s="25"/>
      <c r="E28" s="25"/>
      <c r="F28" s="25"/>
      <c r="G28" s="25"/>
      <c r="H28" s="25"/>
      <c r="I28" s="25"/>
      <c r="J28" s="25"/>
      <c r="K28" s="25"/>
      <c r="L28" s="25"/>
      <c r="M28" s="25"/>
      <c r="N28" s="25"/>
    </row>
    <row r="29" spans="1:14" ht="18">
      <c r="A29" s="36" t="s">
        <v>203</v>
      </c>
      <c r="B29" s="33">
        <f>+M16</f>
        <v>38.160000000000004</v>
      </c>
      <c r="C29" s="25"/>
      <c r="D29" s="25"/>
      <c r="E29" s="25"/>
      <c r="F29" s="25"/>
      <c r="G29" s="25"/>
      <c r="H29" s="25"/>
      <c r="I29" s="25"/>
      <c r="J29" s="25"/>
      <c r="K29" s="25"/>
      <c r="L29" s="25"/>
      <c r="M29" s="25"/>
      <c r="N29" s="25"/>
    </row>
  </sheetData>
  <mergeCells count="1">
    <mergeCell ref="A1:N2"/>
  </mergeCells>
  <conditionalFormatting sqref="F14:F24">
    <cfRule type="cellIs" dxfId="89" priority="1" operator="equal">
      <formula>1</formula>
    </cfRule>
  </conditionalFormatting>
  <pageMargins left="0.7" right="0.7" top="0.75" bottom="0.75" header="0.3" footer="0.3"/>
  <pageSetup paperSize="9" scale="43"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39BC-CB22-47F0-A783-6EDB1C6ACCF6}">
  <sheetPr>
    <pageSetUpPr fitToPage="1"/>
  </sheetPr>
  <dimension ref="A1:N30"/>
  <sheetViews>
    <sheetView zoomScaleNormal="100" workbookViewId="0">
      <selection activeCell="B31" sqref="B31"/>
    </sheetView>
  </sheetViews>
  <sheetFormatPr defaultColWidth="11.42578125" defaultRowHeight="14.45"/>
  <cols>
    <col min="1" max="1" width="25.28515625" bestFit="1" customWidth="1"/>
    <col min="2" max="2" width="15.28515625" bestFit="1" customWidth="1"/>
    <col min="3" max="3" width="9.7109375" bestFit="1" customWidth="1"/>
    <col min="4" max="4" width="12.28515625" bestFit="1" customWidth="1"/>
    <col min="5" max="5" width="30.5703125" bestFit="1" customWidth="1"/>
    <col min="6" max="6" width="17.5703125" bestFit="1" customWidth="1"/>
    <col min="7" max="7" width="17.42578125" bestFit="1" customWidth="1"/>
    <col min="8" max="8" width="15.28515625" bestFit="1" customWidth="1"/>
    <col min="9" max="9" width="18.7109375" bestFit="1" customWidth="1"/>
    <col min="10" max="11" width="12.7109375" bestFit="1" customWidth="1"/>
    <col min="12" max="12" width="25.140625" bestFit="1" customWidth="1"/>
    <col min="13" max="13" width="21.140625" bestFit="1" customWidth="1"/>
    <col min="14" max="14" width="9.5703125" bestFit="1" customWidth="1"/>
  </cols>
  <sheetData>
    <row r="1" spans="1:14">
      <c r="A1" s="47" t="s">
        <v>209</v>
      </c>
      <c r="B1" s="47"/>
      <c r="C1" s="47"/>
      <c r="D1" s="47"/>
      <c r="E1" s="47"/>
      <c r="F1" s="47"/>
      <c r="G1" s="47"/>
      <c r="H1" s="47"/>
      <c r="I1" s="47"/>
      <c r="J1" s="47"/>
      <c r="K1" s="47"/>
      <c r="L1" s="47"/>
      <c r="M1" s="47"/>
      <c r="N1" s="47"/>
    </row>
    <row r="2" spans="1:14">
      <c r="A2" s="47"/>
      <c r="B2" s="47"/>
      <c r="C2" s="47"/>
      <c r="D2" s="47"/>
      <c r="E2" s="47"/>
      <c r="F2" s="47"/>
      <c r="G2" s="47"/>
      <c r="H2" s="47"/>
      <c r="I2" s="47"/>
      <c r="J2" s="47"/>
      <c r="K2" s="47"/>
      <c r="L2" s="47"/>
      <c r="M2" s="47"/>
      <c r="N2" s="47"/>
    </row>
    <row r="3" spans="1:14" ht="18">
      <c r="A3" s="38" t="s">
        <v>182</v>
      </c>
      <c r="B3" s="38" t="s">
        <v>210</v>
      </c>
      <c r="C3" s="24"/>
      <c r="D3" s="24"/>
      <c r="E3" s="24"/>
      <c r="F3" s="24"/>
      <c r="G3" s="24"/>
      <c r="H3" s="24"/>
      <c r="I3" s="24"/>
      <c r="J3" s="24"/>
      <c r="K3" s="24"/>
    </row>
    <row r="4" spans="1:14" ht="18">
      <c r="A4" s="24"/>
      <c r="B4" s="24"/>
      <c r="C4" s="24"/>
      <c r="D4" s="24"/>
      <c r="E4" s="24"/>
      <c r="F4" s="24"/>
      <c r="G4" s="24"/>
      <c r="H4" s="24"/>
      <c r="I4" s="24"/>
      <c r="J4" s="24"/>
      <c r="K4" s="24"/>
    </row>
    <row r="5" spans="1:14">
      <c r="A5" t="s">
        <v>184</v>
      </c>
      <c r="B5" s="15" t="s">
        <v>211</v>
      </c>
      <c r="E5" t="s">
        <v>186</v>
      </c>
      <c r="F5">
        <v>26</v>
      </c>
    </row>
    <row r="6" spans="1:14">
      <c r="E6" t="s">
        <v>187</v>
      </c>
      <c r="F6" s="16">
        <f>0.636</f>
        <v>0.63600000000000001</v>
      </c>
    </row>
    <row r="7" spans="1:14">
      <c r="A7" t="s">
        <v>188</v>
      </c>
      <c r="B7" s="7">
        <f>DATE(2025,8,27)</f>
        <v>45896</v>
      </c>
    </row>
    <row r="8" spans="1:14">
      <c r="A8" t="s">
        <v>189</v>
      </c>
    </row>
    <row r="10" spans="1:14">
      <c r="A10" t="s">
        <v>190</v>
      </c>
      <c r="B10" s="8">
        <v>40</v>
      </c>
    </row>
    <row r="11" spans="1:14">
      <c r="A11" t="s">
        <v>191</v>
      </c>
      <c r="B11" s="8">
        <f>B10*1.28</f>
        <v>51.2</v>
      </c>
    </row>
    <row r="12" spans="1:14">
      <c r="B12" s="8"/>
    </row>
    <row r="13" spans="1:14">
      <c r="A13" t="s">
        <v>192</v>
      </c>
      <c r="B13" t="s">
        <v>6</v>
      </c>
      <c r="C13" t="s">
        <v>193</v>
      </c>
      <c r="D13" t="s">
        <v>194</v>
      </c>
      <c r="E13" t="s">
        <v>195</v>
      </c>
      <c r="F13" t="s">
        <v>196</v>
      </c>
      <c r="G13" t="s">
        <v>197</v>
      </c>
      <c r="H13" t="s">
        <v>198</v>
      </c>
      <c r="I13" t="s">
        <v>199</v>
      </c>
      <c r="J13" t="s">
        <v>200</v>
      </c>
      <c r="K13" t="s">
        <v>201</v>
      </c>
      <c r="L13" t="s">
        <v>202</v>
      </c>
      <c r="M13" t="s">
        <v>203</v>
      </c>
      <c r="N13" t="s">
        <v>167</v>
      </c>
    </row>
    <row r="14" spans="1:14">
      <c r="A14">
        <v>2025</v>
      </c>
      <c r="B14" s="41">
        <f>B7</f>
        <v>45896</v>
      </c>
      <c r="C14">
        <f>MONTH(B7)</f>
        <v>8</v>
      </c>
      <c r="D14" s="14">
        <v>1.48</v>
      </c>
      <c r="E14" s="14">
        <f>Tableau27124[[#This Row],[Temps réel]]-INT(Tableau27124[[#This Row],[Temps réel]])</f>
        <v>0.48</v>
      </c>
      <c r="F14" s="15">
        <f>IF(Tableau27124[[#This Row],[Cumul du temps à reporter]]&lt;1,0,1)</f>
        <v>0</v>
      </c>
      <c r="G14" s="15" cm="1">
        <f t="array" ref="G14">_xlfn.IFS(E14&lt;1,INT(D14),E14&gt;1,INT(D14)+1)</f>
        <v>1</v>
      </c>
      <c r="H14" s="15">
        <v>0</v>
      </c>
      <c r="I14" s="22">
        <f>Tableau27124[[#This Row],[Temps déclaré]]*$B$10</f>
        <v>0</v>
      </c>
      <c r="J14" s="22">
        <f>Tableau27124[[#This Row],[Temps déclaré]]*$B$10</f>
        <v>0</v>
      </c>
      <c r="K14" s="8">
        <f>Tableau27124[[#This Row],[Temps déclaré]]*$B$11</f>
        <v>0</v>
      </c>
      <c r="L14" s="21">
        <v>1</v>
      </c>
      <c r="M14" s="17">
        <f>$F$5*$F$6*Tableau27124[[#This Row],[Nombre de déplacements]]</f>
        <v>16.536000000000001</v>
      </c>
      <c r="N14" s="8">
        <f>SUM(Tableau27124[[#This Row],[Paiement effectué]],Tableau27124[[#This Row],[Frais de déplacement]])</f>
        <v>16.536000000000001</v>
      </c>
    </row>
    <row r="15" spans="1:14">
      <c r="A15">
        <v>2025</v>
      </c>
      <c r="B15" s="41">
        <f>EDATE($B$14,Tableau27124[[#This Row],[N° mois]]-$C$14)</f>
        <v>45927</v>
      </c>
      <c r="C15">
        <f>IF(C14&lt;12,$C14+1,1)</f>
        <v>9</v>
      </c>
      <c r="D15" s="14">
        <f>1.08+1.5</f>
        <v>2.58</v>
      </c>
      <c r="E15" s="14">
        <f>Tableau27124[[#This Row],[Temps réel]]-INT(Tableau27124[[#This Row],[Temps réel]])+E14</f>
        <v>1.06</v>
      </c>
      <c r="F15" s="15">
        <f>IF(Tableau27124[[#This Row],[Cumul du temps à reporter]]&lt;1,0,1)</f>
        <v>1</v>
      </c>
      <c r="G15" s="15" cm="1">
        <f t="array" ref="G15">_xlfn.IFS(E15&lt;1,INT(D15),E15&gt;1,INT(D15)+1)</f>
        <v>3</v>
      </c>
      <c r="H15" s="15">
        <v>4</v>
      </c>
      <c r="I15" s="22">
        <f>Tableau27124[[#This Row],[Temps déclaré]]*$B$10</f>
        <v>160</v>
      </c>
      <c r="J15" s="22">
        <f>Tableau27124[[#This Row],[Temps déclaré]]*$B$10</f>
        <v>160</v>
      </c>
      <c r="K15" s="8">
        <f>Tableau27124[[#This Row],[Temps déclaré]]*$B$11</f>
        <v>204.8</v>
      </c>
      <c r="L15" s="21">
        <v>2</v>
      </c>
      <c r="M15" s="17">
        <f>$F$5*$F$6*Tableau27124[[#This Row],[Nombre de déplacements]]</f>
        <v>33.072000000000003</v>
      </c>
      <c r="N15" s="8">
        <f>SUM(Tableau27124[[#This Row],[Paiement effectué]],Tableau27124[[#This Row],[Frais de déplacement]])</f>
        <v>193.072</v>
      </c>
    </row>
    <row r="16" spans="1:14">
      <c r="A16">
        <v>2025</v>
      </c>
      <c r="B16" s="41">
        <f>EDATE($B$14,Tableau27124[[#This Row],[N° mois]]-$C$14)</f>
        <v>45957</v>
      </c>
      <c r="C16">
        <f t="shared" ref="C16:C25" si="0">IF(C15&lt;12,$C15+1,1)</f>
        <v>10</v>
      </c>
      <c r="D16" s="14">
        <f>3.32+1.5</f>
        <v>4.82</v>
      </c>
      <c r="E16" s="14">
        <f>0.06+0.82</f>
        <v>0.87999999999999989</v>
      </c>
      <c r="F16" s="15">
        <f>IF(Tableau27124[[#This Row],[Cumul du temps à reporter]]&lt;1,0,1)</f>
        <v>0</v>
      </c>
      <c r="G16" s="15" cm="1">
        <f t="array" ref="G16">_xlfn.IFS(E16&lt;1,INT(D16),E16&gt;1,INT(D16)+1)</f>
        <v>4</v>
      </c>
      <c r="H16" s="15">
        <v>4</v>
      </c>
      <c r="I16" s="22">
        <f>Tableau27124[[#This Row],[Temps déclaré]]*$B$10</f>
        <v>160</v>
      </c>
      <c r="J16" s="22">
        <f>Tableau27124[[#This Row],[Temps déclaré]]*$B$10</f>
        <v>160</v>
      </c>
      <c r="K16" s="8">
        <f>Tableau27124[[#This Row],[Temps déclaré]]*$B$11</f>
        <v>204.8</v>
      </c>
      <c r="L16" s="21">
        <v>3</v>
      </c>
      <c r="M16" s="17">
        <f>$F$5*$F$6*Tableau27124[[#This Row],[Nombre de déplacements]]</f>
        <v>49.608000000000004</v>
      </c>
      <c r="N16" s="8">
        <f>SUM(Tableau27124[[#This Row],[Paiement effectué]],Tableau27124[[#This Row],[Frais de déplacement]])</f>
        <v>209.608</v>
      </c>
    </row>
    <row r="17" spans="1:14">
      <c r="A17">
        <v>2025</v>
      </c>
      <c r="B17" s="41">
        <f>EDATE($B$14,Tableau27124[[#This Row],[N° mois]]-$C$14)</f>
        <v>45988</v>
      </c>
      <c r="C17">
        <f t="shared" si="0"/>
        <v>11</v>
      </c>
      <c r="D17" s="14">
        <f>3+12/60</f>
        <v>3.2</v>
      </c>
      <c r="E17" s="14">
        <f>E16+0.2</f>
        <v>1.0799999999999998</v>
      </c>
      <c r="F17" s="15">
        <f>IF(Tableau27124[[#This Row],[Cumul du temps à reporter]]&lt;1,0,1)</f>
        <v>1</v>
      </c>
      <c r="G17" s="15" cm="1">
        <f t="array" ref="G17">_xlfn.IFS(E17&lt;1,INT(D17),E17&gt;1,INT(D17)+1)</f>
        <v>4</v>
      </c>
      <c r="H17" s="15">
        <v>4</v>
      </c>
      <c r="I17" s="22">
        <f>Tableau27124[[#This Row],[Temps déclaré]]*$B$10</f>
        <v>160</v>
      </c>
      <c r="J17" s="22">
        <f>Tableau27124[[#This Row],[Temps déclaré]]*$B$10</f>
        <v>160</v>
      </c>
      <c r="K17" s="8">
        <f>Tableau27124[[#This Row],[Temps déclaré]]*$B$11</f>
        <v>204.8</v>
      </c>
      <c r="L17" s="21">
        <v>2</v>
      </c>
      <c r="M17" s="17">
        <f>$F$5*$F$6*Tableau27124[[#This Row],[Nombre de déplacements]]</f>
        <v>33.072000000000003</v>
      </c>
      <c r="N17" s="8">
        <f>SUM(Tableau27124[[#This Row],[Paiement effectué]],Tableau27124[[#This Row],[Frais de déplacement]])</f>
        <v>193.072</v>
      </c>
    </row>
    <row r="18" spans="1:14">
      <c r="A18">
        <v>2025</v>
      </c>
      <c r="B18" s="41">
        <f>EDATE($B$14,Tableau27124[[#This Row],[N° mois]]-$C$14)</f>
        <v>46018</v>
      </c>
      <c r="C18">
        <f t="shared" si="0"/>
        <v>12</v>
      </c>
      <c r="D18" s="14">
        <f>5+14/60</f>
        <v>5.2333333333333334</v>
      </c>
      <c r="E18" s="14">
        <f>Tableau27124[[#This Row],[Temps réel]]-INT(Tableau27124[[#This Row],[Temps réel]])+0.08</f>
        <v>0.31333333333333341</v>
      </c>
      <c r="F18" s="15">
        <f>IF(Tableau27124[[#This Row],[Cumul du temps à reporter]]&lt;1,0,1)</f>
        <v>0</v>
      </c>
      <c r="G18" s="15" cm="1">
        <f t="array" ref="G18">_xlfn.IFS(E18&lt;1,INT(D18),E18&gt;1,INT(D18)+1)</f>
        <v>5</v>
      </c>
      <c r="H18" s="15">
        <v>5</v>
      </c>
      <c r="I18" s="22">
        <f>Tableau27124[[#This Row],[Temps déclaré]]*$B$10</f>
        <v>200</v>
      </c>
      <c r="J18" s="22">
        <f>Tableau27124[[#This Row],[Temps déclaré]]*$B$10</f>
        <v>200</v>
      </c>
      <c r="K18" s="8">
        <f>Tableau27124[[#This Row],[Temps déclaré]]*$B$11</f>
        <v>256</v>
      </c>
      <c r="L18" s="21">
        <v>3</v>
      </c>
      <c r="M18" s="17">
        <f>$F$5*$F$6*Tableau27124[[#This Row],[Nombre de déplacements]]</f>
        <v>49.608000000000004</v>
      </c>
      <c r="N18" s="8">
        <f>SUM(Tableau27124[[#This Row],[Paiement effectué]],Tableau27124[[#This Row],[Frais de déplacement]])</f>
        <v>249.608</v>
      </c>
    </row>
    <row r="19" spans="1:14">
      <c r="A19">
        <v>2026</v>
      </c>
      <c r="B19" s="41">
        <f>EDATE($B$14,Tableau27124[[#This Row],[N° mois]]-$C$14)</f>
        <v>45684</v>
      </c>
      <c r="C19">
        <f t="shared" si="0"/>
        <v>1</v>
      </c>
      <c r="D19" s="14"/>
      <c r="E19" s="14">
        <f>Tableau27124[[#This Row],[Temps réel]]-INT(Tableau27124[[#This Row],[Temps réel]])</f>
        <v>0</v>
      </c>
      <c r="F19" s="15">
        <f>IF(Tableau27124[[#This Row],[Cumul du temps à reporter]]&lt;1,0,1)</f>
        <v>0</v>
      </c>
      <c r="G19" s="15" cm="1">
        <f t="array" ref="G19">_xlfn.IFS(E19&lt;1,INT(D19),E19&gt;1,INT(D19)+1)</f>
        <v>0</v>
      </c>
      <c r="H19" s="15"/>
      <c r="I19" s="22">
        <f>Tableau27124[[#This Row],[Temps déclaré]]*$B$10</f>
        <v>0</v>
      </c>
      <c r="J19" s="22">
        <f>Tableau27124[[#This Row],[Temps déclaré]]*$B$10</f>
        <v>0</v>
      </c>
      <c r="K19" s="8">
        <f>Tableau27124[[#This Row],[Temps déclaré]]*$B$11</f>
        <v>0</v>
      </c>
      <c r="L19" s="21"/>
      <c r="M19" s="17">
        <f>$F$5*$F$6*Tableau27124[[#This Row],[Nombre de déplacements]]</f>
        <v>0</v>
      </c>
      <c r="N19" s="8">
        <f>SUM(Tableau27124[[#This Row],[Paiement effectué]],Tableau27124[[#This Row],[Frais de déplacement]])</f>
        <v>0</v>
      </c>
    </row>
    <row r="20" spans="1:14">
      <c r="A20">
        <v>2026</v>
      </c>
      <c r="B20" s="41">
        <f>EDATE($B$14,Tableau27124[[#This Row],[N° mois]]-$C$14)</f>
        <v>45715</v>
      </c>
      <c r="C20">
        <f t="shared" si="0"/>
        <v>2</v>
      </c>
      <c r="D20" s="14"/>
      <c r="E20" s="14">
        <f>Tableau27124[[#This Row],[Temps réel]]-INT(Tableau27124[[#This Row],[Temps réel]])</f>
        <v>0</v>
      </c>
      <c r="F20" s="15">
        <f>IF(Tableau27124[[#This Row],[Cumul du temps à reporter]]&lt;1,0,1)</f>
        <v>0</v>
      </c>
      <c r="G20" s="15" cm="1">
        <f t="array" ref="G20">_xlfn.IFS(E20&lt;1,INT(D20),E20&gt;1,INT(D20)+1)</f>
        <v>0</v>
      </c>
      <c r="H20" s="15"/>
      <c r="I20" s="22">
        <f>Tableau27124[[#This Row],[Temps déclaré]]*$B$10</f>
        <v>0</v>
      </c>
      <c r="J20" s="22">
        <f>Tableau27124[[#This Row],[Temps déclaré]]*$B$10</f>
        <v>0</v>
      </c>
      <c r="K20" s="8">
        <f>Tableau27124[[#This Row],[Temps déclaré]]*$B$11</f>
        <v>0</v>
      </c>
      <c r="L20" s="21"/>
      <c r="M20" s="17">
        <f>$F$5*$F$6*Tableau27124[[#This Row],[Nombre de déplacements]]</f>
        <v>0</v>
      </c>
      <c r="N20" s="8">
        <f>SUM(Tableau27124[[#This Row],[Paiement effectué]],Tableau27124[[#This Row],[Frais de déplacement]])</f>
        <v>0</v>
      </c>
    </row>
    <row r="21" spans="1:14">
      <c r="A21">
        <v>2026</v>
      </c>
      <c r="B21" s="41">
        <f>EDATE($B$14,Tableau27124[[#This Row],[N° mois]]-$C$14)</f>
        <v>45743</v>
      </c>
      <c r="C21">
        <f t="shared" si="0"/>
        <v>3</v>
      </c>
      <c r="D21" s="14"/>
      <c r="E21" s="14">
        <f>Tableau27124[[#This Row],[Temps réel]]-INT(Tableau27124[[#This Row],[Temps réel]])</f>
        <v>0</v>
      </c>
      <c r="F21" s="15">
        <f>IF(Tableau27124[[#This Row],[Cumul du temps à reporter]]&lt;1,0,1)</f>
        <v>0</v>
      </c>
      <c r="G21" s="15" cm="1">
        <f t="array" ref="G21">_xlfn.IFS(E21&lt;1,INT(D21),E21&gt;1,INT(D21)+1)</f>
        <v>0</v>
      </c>
      <c r="H21" s="15"/>
      <c r="I21" s="22">
        <f>Tableau27124[[#This Row],[Temps déclaré]]*$B$10</f>
        <v>0</v>
      </c>
      <c r="J21" s="22">
        <f>Tableau27124[[#This Row],[Temps déclaré]]*$B$10</f>
        <v>0</v>
      </c>
      <c r="K21" s="8">
        <f>Tableau27124[[#This Row],[Temps déclaré]]*$B$11</f>
        <v>0</v>
      </c>
      <c r="L21" s="21"/>
      <c r="M21" s="17">
        <f>$F$5*$F$6*Tableau27124[[#This Row],[Nombre de déplacements]]</f>
        <v>0</v>
      </c>
      <c r="N21" s="8">
        <f>SUM(Tableau27124[[#This Row],[Paiement effectué]],Tableau27124[[#This Row],[Frais de déplacement]])</f>
        <v>0</v>
      </c>
    </row>
    <row r="22" spans="1:14">
      <c r="A22">
        <v>2026</v>
      </c>
      <c r="B22" s="41">
        <f>EDATE($B$14,Tableau27124[[#This Row],[N° mois]]-$C$14)</f>
        <v>45774</v>
      </c>
      <c r="C22">
        <f t="shared" si="0"/>
        <v>4</v>
      </c>
      <c r="D22" s="14"/>
      <c r="E22" s="14">
        <f>Tableau27124[[#This Row],[Temps réel]]-INT(Tableau27124[[#This Row],[Temps réel]])</f>
        <v>0</v>
      </c>
      <c r="F22" s="15">
        <f>IF(Tableau27124[[#This Row],[Cumul du temps à reporter]]&lt;1,0,1)</f>
        <v>0</v>
      </c>
      <c r="G22" s="15" cm="1">
        <f t="array" ref="G22">_xlfn.IFS(E22&lt;1,INT(D22),E22&gt;1,INT(D22)+1)</f>
        <v>0</v>
      </c>
      <c r="H22" s="15"/>
      <c r="I22" s="22">
        <f>Tableau27124[[#This Row],[Temps déclaré]]*$B$10</f>
        <v>0</v>
      </c>
      <c r="J22" s="22">
        <f>Tableau27124[[#This Row],[Temps déclaré]]*$B$10</f>
        <v>0</v>
      </c>
      <c r="K22" s="8">
        <f>Tableau27124[[#This Row],[Temps déclaré]]*$B$11</f>
        <v>0</v>
      </c>
      <c r="L22" s="21"/>
      <c r="M22" s="17">
        <f>$F$5*$F$6*Tableau27124[[#This Row],[Nombre de déplacements]]</f>
        <v>0</v>
      </c>
      <c r="N22" s="8">
        <f>SUM(Tableau27124[[#This Row],[Paiement effectué]],Tableau27124[[#This Row],[Frais de déplacement]])</f>
        <v>0</v>
      </c>
    </row>
    <row r="23" spans="1:14">
      <c r="A23">
        <v>2026</v>
      </c>
      <c r="B23" s="41">
        <f>EDATE($B$14,Tableau27124[[#This Row],[N° mois]]-$C$14)</f>
        <v>45804</v>
      </c>
      <c r="C23">
        <f t="shared" si="0"/>
        <v>5</v>
      </c>
      <c r="D23" s="14"/>
      <c r="E23" s="14">
        <f>Tableau27124[[#This Row],[Temps réel]]-INT(Tableau27124[[#This Row],[Temps réel]])</f>
        <v>0</v>
      </c>
      <c r="F23" s="15">
        <f>IF(Tableau27124[[#This Row],[Cumul du temps à reporter]]&lt;1,0,1)</f>
        <v>0</v>
      </c>
      <c r="G23" s="15" cm="1">
        <f t="array" ref="G23">_xlfn.IFS(E23&lt;1,INT(D23),E23&gt;1,INT(D23)+1)</f>
        <v>0</v>
      </c>
      <c r="H23" s="15"/>
      <c r="I23" s="22">
        <f>Tableau27124[[#This Row],[Temps déclaré]]*$B$10</f>
        <v>0</v>
      </c>
      <c r="J23" s="22">
        <f>Tableau27124[[#This Row],[Temps déclaré]]*$B$10</f>
        <v>0</v>
      </c>
      <c r="K23" s="8">
        <f>Tableau27124[[#This Row],[Temps déclaré]]*$B$11</f>
        <v>0</v>
      </c>
      <c r="L23" s="21"/>
      <c r="M23" s="17">
        <f>$F$5*$F$6*Tableau27124[[#This Row],[Nombre de déplacements]]</f>
        <v>0</v>
      </c>
      <c r="N23" s="8">
        <f>SUM(Tableau27124[[#This Row],[Paiement effectué]],Tableau27124[[#This Row],[Frais de déplacement]])</f>
        <v>0</v>
      </c>
    </row>
    <row r="24" spans="1:14">
      <c r="A24">
        <v>2026</v>
      </c>
      <c r="B24" s="41">
        <f>EDATE($B$14,Tableau27124[[#This Row],[N° mois]]-$C$14)</f>
        <v>45835</v>
      </c>
      <c r="C24">
        <f t="shared" si="0"/>
        <v>6</v>
      </c>
      <c r="D24" s="14"/>
      <c r="E24" s="14">
        <f>Tableau27124[[#This Row],[Temps réel]]-INT(Tableau27124[[#This Row],[Temps réel]])</f>
        <v>0</v>
      </c>
      <c r="F24" s="15">
        <f>IF(Tableau27124[[#This Row],[Cumul du temps à reporter]]&lt;1,0,1)</f>
        <v>0</v>
      </c>
      <c r="G24" s="15" cm="1">
        <f t="array" ref="G24">_xlfn.IFS(E24&lt;1,INT(D24),E24&gt;1,INT(D24)+1)</f>
        <v>0</v>
      </c>
      <c r="H24" s="15"/>
      <c r="I24" s="22">
        <f>Tableau27124[[#This Row],[Temps déclaré]]*$B$10</f>
        <v>0</v>
      </c>
      <c r="J24" s="22">
        <f>Tableau27124[[#This Row],[Temps déclaré]]*$B$10</f>
        <v>0</v>
      </c>
      <c r="K24" s="8">
        <f>Tableau27124[[#This Row],[Temps déclaré]]*$B$11</f>
        <v>0</v>
      </c>
      <c r="L24" s="21"/>
      <c r="M24" s="17">
        <f>$F$5*$F$6*Tableau27124[[#This Row],[Nombre de déplacements]]</f>
        <v>0</v>
      </c>
      <c r="N24" s="8">
        <f>SUM(Tableau27124[[#This Row],[Paiement effectué]],Tableau27124[[#This Row],[Frais de déplacement]])</f>
        <v>0</v>
      </c>
    </row>
    <row r="25" spans="1:14">
      <c r="A25">
        <v>2026</v>
      </c>
      <c r="B25" s="41">
        <f>EDATE($B$14,Tableau27124[[#This Row],[N° mois]]-$C$14)</f>
        <v>45865</v>
      </c>
      <c r="C25">
        <f t="shared" si="0"/>
        <v>7</v>
      </c>
      <c r="D25" s="14"/>
      <c r="E25" s="14">
        <f>Tableau27124[[#This Row],[Temps réel]]-INT(Tableau27124[[#This Row],[Temps réel]])</f>
        <v>0</v>
      </c>
      <c r="F25" s="15">
        <f>IF(Tableau27124[[#This Row],[Cumul du temps à reporter]]&lt;1,0,1)</f>
        <v>0</v>
      </c>
      <c r="G25" s="15" cm="1">
        <f t="array" ref="G25">_xlfn.IFS(E25&lt;1,INT(D25),E25&gt;1,INT(D25)+1)</f>
        <v>0</v>
      </c>
      <c r="H25" s="15"/>
      <c r="I25" s="22">
        <f>Tableau27124[[#This Row],[Temps déclaré]]*$B$10</f>
        <v>0</v>
      </c>
      <c r="J25" s="22">
        <f>Tableau27124[[#This Row],[Temps déclaré]]*$B$10</f>
        <v>0</v>
      </c>
      <c r="K25" s="8">
        <f>Tableau27124[[#This Row],[Temps déclaré]]*$B$11</f>
        <v>0</v>
      </c>
      <c r="L25" s="21"/>
      <c r="M25" s="17">
        <f>$F$5*$F$6*Tableau27124[[#This Row],[Nombre de déplacements]]</f>
        <v>0</v>
      </c>
      <c r="N25" s="8">
        <f>SUM(Tableau27124[[#This Row],[Paiement effectué]],Tableau27124[[#This Row],[Frais de déplacement]])</f>
        <v>0</v>
      </c>
    </row>
    <row r="26" spans="1:14">
      <c r="A26" t="s">
        <v>167</v>
      </c>
      <c r="D26" s="14">
        <f>SUBTOTAL(109,Tableau27124[Temps réel])</f>
        <v>17.313333333333336</v>
      </c>
      <c r="G26" s="15">
        <f>SUBTOTAL(109,Tableau27124[Temps rémunéré])</f>
        <v>17</v>
      </c>
      <c r="H26" s="15">
        <f>SUBTOTAL(109,Tableau27124[Temps déclaré])</f>
        <v>17</v>
      </c>
      <c r="I26" s="23">
        <f>SUBTOTAL(109,Tableau27124[Paiement effectué])</f>
        <v>680</v>
      </c>
      <c r="J26" s="23">
        <f>SUBTOTAL(109,Tableau27124[Salaire net])</f>
        <v>680</v>
      </c>
      <c r="K26" s="12">
        <f>SUBTOTAL(109,Tableau27124[Salaire brut])</f>
        <v>870.40000000000009</v>
      </c>
      <c r="L26" s="15"/>
      <c r="M26" s="17">
        <f>SUBTOTAL(109,Tableau27124[Frais de déplacement])</f>
        <v>181.89600000000002</v>
      </c>
      <c r="N26" s="12">
        <f>SUBTOTAL(109,Tableau27124[Total])</f>
        <v>861.89599999999996</v>
      </c>
    </row>
    <row r="28" spans="1:14">
      <c r="A28" s="13" t="s">
        <v>204</v>
      </c>
      <c r="B28" s="19">
        <v>46014</v>
      </c>
    </row>
    <row r="29" spans="1:14">
      <c r="A29" s="13" t="s">
        <v>205</v>
      </c>
      <c r="B29" s="20">
        <f>H18</f>
        <v>5</v>
      </c>
    </row>
    <row r="30" spans="1:14">
      <c r="A30" s="13" t="s">
        <v>203</v>
      </c>
      <c r="B30" s="17">
        <f>M18</f>
        <v>49.608000000000004</v>
      </c>
    </row>
  </sheetData>
  <mergeCells count="1">
    <mergeCell ref="A1:N2"/>
  </mergeCells>
  <phoneticPr fontId="4" type="noConversion"/>
  <conditionalFormatting sqref="F14:F25">
    <cfRule type="cellIs" dxfId="57" priority="1" operator="equal">
      <formula>1</formula>
    </cfRule>
  </conditionalFormatting>
  <pageMargins left="0.7" right="0.7" top="0.75" bottom="0.75" header="0.3" footer="0.3"/>
  <pageSetup paperSize="9" scale="54"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6C5D5-856D-4AD5-80AD-10380C29DD0E}">
  <sheetPr>
    <pageSetUpPr fitToPage="1"/>
  </sheetPr>
  <dimension ref="A1:N29"/>
  <sheetViews>
    <sheetView zoomScale="85" zoomScaleNormal="85" workbookViewId="0">
      <selection activeCell="G31" sqref="G31"/>
    </sheetView>
  </sheetViews>
  <sheetFormatPr defaultColWidth="11.42578125" defaultRowHeight="14.45" outlineLevelCol="1"/>
  <cols>
    <col min="1" max="1" width="29.85546875" bestFit="1" customWidth="1"/>
    <col min="2" max="2" width="16.28515625" bestFit="1" customWidth="1"/>
    <col min="3" max="3" width="11.42578125" bestFit="1" customWidth="1" outlineLevel="1"/>
    <col min="4" max="4" width="15" bestFit="1" customWidth="1"/>
    <col min="5" max="5" width="38.42578125" bestFit="1" customWidth="1"/>
    <col min="6" max="6" width="21.7109375" bestFit="1" customWidth="1"/>
    <col min="7" max="7" width="21.5703125" bestFit="1" customWidth="1"/>
    <col min="8" max="8" width="18.7109375" customWidth="1" outlineLevel="1"/>
    <col min="9" max="9" width="23" customWidth="1" outlineLevel="1"/>
    <col min="10" max="10" width="14.5703125" bestFit="1" customWidth="1"/>
    <col min="11" max="11" width="15.42578125" bestFit="1" customWidth="1"/>
    <col min="12" max="12" width="31" bestFit="1" customWidth="1"/>
    <col min="13" max="13" width="26.28515625" bestFit="1" customWidth="1"/>
    <col min="14" max="14" width="11.7109375" bestFit="1" customWidth="1"/>
  </cols>
  <sheetData>
    <row r="1" spans="1:14" ht="14.45" customHeight="1">
      <c r="A1" s="47" t="s">
        <v>212</v>
      </c>
      <c r="B1" s="47"/>
      <c r="C1" s="47"/>
      <c r="D1" s="47"/>
      <c r="E1" s="47"/>
      <c r="F1" s="47"/>
      <c r="G1" s="47"/>
      <c r="H1" s="47"/>
      <c r="I1" s="47"/>
      <c r="J1" s="47"/>
      <c r="K1" s="47"/>
      <c r="L1" s="47"/>
      <c r="M1" s="47"/>
      <c r="N1" s="47"/>
    </row>
    <row r="2" spans="1:14" ht="14.45" customHeight="1">
      <c r="A2" s="47"/>
      <c r="B2" s="47"/>
      <c r="C2" s="47"/>
      <c r="D2" s="47"/>
      <c r="E2" s="47"/>
      <c r="F2" s="47"/>
      <c r="G2" s="47"/>
      <c r="H2" s="47"/>
      <c r="I2" s="47"/>
      <c r="J2" s="47"/>
      <c r="K2" s="47"/>
      <c r="L2" s="47"/>
      <c r="M2" s="47"/>
      <c r="N2" s="47"/>
    </row>
    <row r="3" spans="1:14" ht="18">
      <c r="A3" s="38" t="s">
        <v>182</v>
      </c>
      <c r="B3" s="48" t="s">
        <v>207</v>
      </c>
      <c r="C3" s="48"/>
      <c r="D3" s="48"/>
      <c r="E3" s="24"/>
      <c r="F3" s="24"/>
      <c r="G3" s="24"/>
      <c r="H3" s="24"/>
      <c r="I3" s="24"/>
      <c r="J3" s="24"/>
      <c r="K3" s="24"/>
    </row>
    <row r="4" spans="1:14" ht="18">
      <c r="A4" s="24"/>
      <c r="B4" s="24"/>
      <c r="C4" s="24"/>
      <c r="D4" s="24"/>
      <c r="E4" s="24"/>
      <c r="F4" s="24"/>
      <c r="G4" s="24"/>
      <c r="H4" s="24"/>
      <c r="I4" s="24"/>
      <c r="J4" s="24"/>
      <c r="K4" s="24"/>
    </row>
    <row r="5" spans="1:14" ht="18">
      <c r="A5" s="25" t="s">
        <v>184</v>
      </c>
      <c r="B5" s="25"/>
      <c r="C5" s="25"/>
      <c r="D5" s="25"/>
      <c r="E5" s="25" t="s">
        <v>186</v>
      </c>
      <c r="F5" s="25">
        <v>37</v>
      </c>
    </row>
    <row r="6" spans="1:14" ht="18">
      <c r="A6" s="25"/>
      <c r="B6" s="25"/>
      <c r="C6" s="25"/>
      <c r="D6" s="25"/>
      <c r="E6" s="25" t="s">
        <v>187</v>
      </c>
      <c r="F6" s="26">
        <f>0.636</f>
        <v>0.63600000000000001</v>
      </c>
    </row>
    <row r="7" spans="1:14" ht="18">
      <c r="A7" s="25" t="s">
        <v>188</v>
      </c>
      <c r="B7" s="27">
        <f>DATE(2025,9,17)</f>
        <v>45917</v>
      </c>
      <c r="C7" s="25"/>
      <c r="D7" s="25"/>
      <c r="E7" s="25"/>
      <c r="F7" s="25"/>
      <c r="G7" s="25"/>
      <c r="H7" s="25"/>
      <c r="I7" s="25"/>
      <c r="J7" s="25"/>
      <c r="K7" s="25"/>
      <c r="L7" s="25"/>
      <c r="M7" s="25"/>
      <c r="N7" s="25"/>
    </row>
    <row r="8" spans="1:14" ht="18">
      <c r="A8" s="25" t="s">
        <v>189</v>
      </c>
      <c r="B8" s="25"/>
      <c r="C8" s="25"/>
      <c r="D8" s="25"/>
      <c r="E8" s="25"/>
      <c r="F8" s="25"/>
      <c r="G8" s="25"/>
      <c r="H8" s="25"/>
      <c r="I8" s="25"/>
      <c r="J8" s="25"/>
      <c r="K8" s="25"/>
      <c r="L8" s="25"/>
      <c r="M8" s="25"/>
      <c r="N8" s="25"/>
    </row>
    <row r="9" spans="1:14" ht="18">
      <c r="A9" s="25"/>
      <c r="B9" s="25"/>
      <c r="C9" s="25"/>
      <c r="D9" s="25"/>
      <c r="E9" s="25"/>
      <c r="F9" s="25"/>
      <c r="G9" s="25"/>
      <c r="H9" s="25"/>
      <c r="I9" s="25"/>
      <c r="J9" s="25"/>
      <c r="K9" s="25"/>
      <c r="L9" s="25"/>
      <c r="M9" s="25"/>
      <c r="N9" s="25"/>
    </row>
    <row r="10" spans="1:14" ht="18">
      <c r="A10" s="25" t="s">
        <v>190</v>
      </c>
      <c r="B10" s="28">
        <v>40</v>
      </c>
      <c r="C10" s="25"/>
      <c r="D10" s="25"/>
      <c r="E10" s="25"/>
      <c r="F10" s="25"/>
      <c r="G10" s="25"/>
      <c r="H10" s="25"/>
      <c r="I10" s="25"/>
      <c r="J10" s="25"/>
      <c r="K10" s="25"/>
      <c r="L10" s="25"/>
      <c r="M10" s="25"/>
      <c r="N10" s="25"/>
    </row>
    <row r="11" spans="1:14" ht="18">
      <c r="A11" s="25" t="s">
        <v>191</v>
      </c>
      <c r="B11" s="28">
        <f>B10*1.28</f>
        <v>51.2</v>
      </c>
      <c r="C11" s="25"/>
      <c r="D11" s="25"/>
      <c r="E11" s="25"/>
      <c r="F11" s="25"/>
      <c r="G11" s="25"/>
      <c r="H11" s="25"/>
      <c r="I11" s="25"/>
      <c r="J11" s="25"/>
      <c r="K11" s="25"/>
      <c r="L11" s="25"/>
      <c r="M11" s="25"/>
      <c r="N11" s="25"/>
    </row>
    <row r="12" spans="1:14" ht="18">
      <c r="A12" s="25"/>
      <c r="B12" s="28"/>
      <c r="C12" s="25"/>
      <c r="D12" s="25"/>
      <c r="E12" s="25"/>
      <c r="F12" s="25"/>
      <c r="G12" s="25"/>
      <c r="H12" s="25"/>
      <c r="I12" s="25"/>
      <c r="J12" s="25"/>
      <c r="K12" s="25"/>
      <c r="L12" s="25"/>
      <c r="M12" s="25"/>
      <c r="N12" s="25"/>
    </row>
    <row r="13" spans="1:14" ht="18">
      <c r="A13" s="25" t="s">
        <v>192</v>
      </c>
      <c r="B13" s="25" t="s">
        <v>6</v>
      </c>
      <c r="C13" s="25" t="s">
        <v>193</v>
      </c>
      <c r="D13" s="25" t="s">
        <v>194</v>
      </c>
      <c r="E13" s="25" t="s">
        <v>195</v>
      </c>
      <c r="F13" s="25" t="s">
        <v>196</v>
      </c>
      <c r="G13" s="25" t="s">
        <v>197</v>
      </c>
      <c r="H13" s="25" t="s">
        <v>198</v>
      </c>
      <c r="I13" s="25" t="s">
        <v>199</v>
      </c>
      <c r="J13" s="25" t="s">
        <v>200</v>
      </c>
      <c r="K13" s="25" t="s">
        <v>201</v>
      </c>
      <c r="L13" s="25" t="s">
        <v>202</v>
      </c>
      <c r="M13" s="25" t="s">
        <v>203</v>
      </c>
      <c r="N13" s="25" t="s">
        <v>167</v>
      </c>
    </row>
    <row r="14" spans="1:14" ht="18">
      <c r="A14" s="25">
        <v>2025</v>
      </c>
      <c r="B14" s="42">
        <f>B7</f>
        <v>45917</v>
      </c>
      <c r="C14" s="25">
        <f>MONTH(B7)</f>
        <v>9</v>
      </c>
      <c r="D14" s="29">
        <v>2.6</v>
      </c>
      <c r="E14" s="29">
        <f>Tableau2712435[[#This Row],[Temps réel]]-INT(Tableau2712435[[#This Row],[Temps réel]])</f>
        <v>0.60000000000000009</v>
      </c>
      <c r="F14" s="30">
        <f>IF(Tableau2712435[[#This Row],[Cumul du temps à reporter]]&lt;1,0,1)</f>
        <v>0</v>
      </c>
      <c r="G14" s="30" cm="1">
        <f t="array" ref="G14">_xlfn.IFS(E14&lt;1,INT(D14),E14&gt;1,INT(D14)+1)</f>
        <v>2</v>
      </c>
      <c r="H14" s="30">
        <v>2</v>
      </c>
      <c r="I14" s="31">
        <f>Tableau2712435[[#This Row],[Temps déclaré]]*$B$10</f>
        <v>80</v>
      </c>
      <c r="J14" s="31">
        <f>Tableau2712435[[#This Row],[Temps déclaré]]*$B$10</f>
        <v>80</v>
      </c>
      <c r="K14" s="28">
        <f>Tableau2712435[[#This Row],[Temps déclaré]]*$B$11</f>
        <v>102.4</v>
      </c>
      <c r="L14" s="32">
        <v>2</v>
      </c>
      <c r="M14" s="33">
        <f>$F$5*$F$6*Tableau2712435[[#This Row],[Nombre de déplacements]]</f>
        <v>47.064</v>
      </c>
      <c r="N14" s="28">
        <f>SUM(Tableau2712435[[#This Row],[Paiement effectué]],Tableau2712435[[#This Row],[Frais de déplacement]])</f>
        <v>127.06399999999999</v>
      </c>
    </row>
    <row r="15" spans="1:14" ht="18">
      <c r="A15" s="25">
        <v>2025</v>
      </c>
      <c r="B15" s="42">
        <f>EDATE($B$14,Tableau2712435[[#This Row],[N° mois]]-$C$14)</f>
        <v>45947</v>
      </c>
      <c r="C15" s="25">
        <f>IF(C14&lt;12,$C14+1,1)</f>
        <v>10</v>
      </c>
      <c r="D15" s="29">
        <v>6.05</v>
      </c>
      <c r="E15" s="29">
        <f>Tableau2712435[[#This Row],[Temps réel]]-INT(Tableau2712435[[#This Row],[Temps réel]])+E14</f>
        <v>0.64999999999999991</v>
      </c>
      <c r="F15" s="30">
        <f>IF(Tableau2712435[[#This Row],[Cumul du temps à reporter]]&lt;1,0,1)</f>
        <v>0</v>
      </c>
      <c r="G15" s="30" cm="1">
        <f t="array" ref="G15">_xlfn.IFS(E15&lt;1,INT(D15),E15&gt;1,INT(D15)+1)</f>
        <v>6</v>
      </c>
      <c r="H15" s="30">
        <v>6</v>
      </c>
      <c r="I15" s="31">
        <f>Tableau2712435[[#This Row],[Temps déclaré]]*$B$10</f>
        <v>240</v>
      </c>
      <c r="J15" s="31">
        <f>Tableau2712435[[#This Row],[Temps déclaré]]*$B$10</f>
        <v>240</v>
      </c>
      <c r="K15" s="28">
        <f>Tableau2712435[[#This Row],[Temps déclaré]]*$B$11</f>
        <v>307.20000000000005</v>
      </c>
      <c r="L15" s="32">
        <v>4</v>
      </c>
      <c r="M15" s="33">
        <f>$F$5*$F$6*Tableau2712435[[#This Row],[Nombre de déplacements]]</f>
        <v>94.128</v>
      </c>
      <c r="N15" s="28">
        <f>SUM(Tableau2712435[[#This Row],[Paiement effectué]],Tableau2712435[[#This Row],[Frais de déplacement]])</f>
        <v>334.12799999999999</v>
      </c>
    </row>
    <row r="16" spans="1:14" ht="18">
      <c r="A16" s="25">
        <v>2025</v>
      </c>
      <c r="B16" s="42">
        <f>EDATE($B$14,Tableau2712435[[#This Row],[N° mois]]-$C$14)</f>
        <v>45978</v>
      </c>
      <c r="C16" s="25">
        <f t="shared" ref="C16:C24" si="0">IF(C15&lt;12,$C15+1,1)</f>
        <v>11</v>
      </c>
      <c r="D16" s="29">
        <f>4+10/60</f>
        <v>4.166666666666667</v>
      </c>
      <c r="E16" s="29">
        <f>E15+0.167</f>
        <v>0.81699999999999995</v>
      </c>
      <c r="F16" s="30">
        <f>IF(Tableau2712435[[#This Row],[Cumul du temps à reporter]]&lt;1,0,1)</f>
        <v>0</v>
      </c>
      <c r="G16" s="30" cm="1">
        <f t="array" ref="G16">_xlfn.IFS(E16&lt;1,INT(D16),E16&gt;1,INT(D16)+1)</f>
        <v>4</v>
      </c>
      <c r="H16" s="30">
        <v>4</v>
      </c>
      <c r="I16" s="31">
        <f>Tableau2712435[[#This Row],[Temps déclaré]]*$B$10</f>
        <v>160</v>
      </c>
      <c r="J16" s="31">
        <f>Tableau2712435[[#This Row],[Temps déclaré]]*$B$10</f>
        <v>160</v>
      </c>
      <c r="K16" s="28">
        <f>Tableau2712435[[#This Row],[Temps déclaré]]*$B$11</f>
        <v>204.8</v>
      </c>
      <c r="L16" s="32">
        <v>3</v>
      </c>
      <c r="M16" s="33">
        <f>$F$5*$F$6*Tableau2712435[[#This Row],[Nombre de déplacements]]</f>
        <v>70.596000000000004</v>
      </c>
      <c r="N16" s="28">
        <f>SUM(Tableau2712435[[#This Row],[Paiement effectué]],Tableau2712435[[#This Row],[Frais de déplacement]])</f>
        <v>230.596</v>
      </c>
    </row>
    <row r="17" spans="1:14" ht="18">
      <c r="A17" s="25">
        <v>2025</v>
      </c>
      <c r="B17" s="42">
        <f>EDATE($B$14,Tableau2712435[[#This Row],[N° mois]]-$C$14)</f>
        <v>46008</v>
      </c>
      <c r="C17" s="25">
        <f t="shared" si="0"/>
        <v>12</v>
      </c>
      <c r="D17" s="29">
        <f>2+42/60</f>
        <v>2.7</v>
      </c>
      <c r="E17" s="29">
        <f>Tableau2712435[[#This Row],[Temps réel]]-INT(Tableau2712435[[#This Row],[Temps réel]])+E16</f>
        <v>1.5170000000000001</v>
      </c>
      <c r="F17" s="30">
        <f>IF(Tableau2712435[[#This Row],[Cumul du temps à reporter]]&lt;1,0,1)</f>
        <v>1</v>
      </c>
      <c r="G17" s="30" cm="1">
        <f t="array" ref="G17">_xlfn.IFS(E17&lt;1,INT(D17),E17&gt;1,INT(D17)+1)</f>
        <v>3</v>
      </c>
      <c r="H17" s="30">
        <v>4</v>
      </c>
      <c r="I17" s="31">
        <f>Tableau2712435[[#This Row],[Temps déclaré]]*$B$10</f>
        <v>160</v>
      </c>
      <c r="J17" s="31">
        <f>Tableau2712435[[#This Row],[Temps déclaré]]*$B$10</f>
        <v>160</v>
      </c>
      <c r="K17" s="28">
        <f>Tableau2712435[[#This Row],[Temps déclaré]]*$B$11</f>
        <v>204.8</v>
      </c>
      <c r="L17" s="32">
        <v>3</v>
      </c>
      <c r="M17" s="33">
        <f>$F$5*$F$6*Tableau2712435[[#This Row],[Nombre de déplacements]]</f>
        <v>70.596000000000004</v>
      </c>
      <c r="N17" s="28">
        <f>SUM(Tableau2712435[[#This Row],[Paiement effectué]],Tableau2712435[[#This Row],[Frais de déplacement]])</f>
        <v>230.596</v>
      </c>
    </row>
    <row r="18" spans="1:14" ht="18">
      <c r="A18" s="25">
        <v>2025</v>
      </c>
      <c r="B18" s="42">
        <f>EDATE($B$14,Tableau2712435[[#This Row],[N° mois]]-$C$14)</f>
        <v>45674</v>
      </c>
      <c r="C18" s="25">
        <f t="shared" si="0"/>
        <v>1</v>
      </c>
      <c r="D18" s="29"/>
      <c r="E18" s="29">
        <f>Tableau2712435[[#This Row],[Temps réel]]-INT(Tableau2712435[[#This Row],[Temps réel]])+0.517</f>
        <v>0.51700000000000002</v>
      </c>
      <c r="F18" s="30">
        <f>IF(Tableau2712435[[#This Row],[Cumul du temps à reporter]]&lt;1,0,1)</f>
        <v>0</v>
      </c>
      <c r="G18" s="30" cm="1">
        <f t="array" ref="G18">_xlfn.IFS(E18&lt;1,INT(D18),E18&gt;1,INT(D18)+1)</f>
        <v>0</v>
      </c>
      <c r="H18" s="30"/>
      <c r="I18" s="31">
        <f>Tableau2712435[[#This Row],[Temps déclaré]]*$B$10</f>
        <v>0</v>
      </c>
      <c r="J18" s="31">
        <f>Tableau2712435[[#This Row],[Temps déclaré]]*$B$10</f>
        <v>0</v>
      </c>
      <c r="K18" s="28">
        <f>Tableau2712435[[#This Row],[Temps déclaré]]*$B$11</f>
        <v>0</v>
      </c>
      <c r="L18" s="32"/>
      <c r="M18" s="33">
        <f>$F$5*$F$6*Tableau2712435[[#This Row],[Nombre de déplacements]]</f>
        <v>0</v>
      </c>
      <c r="N18" s="28">
        <f>SUM(Tableau2712435[[#This Row],[Paiement effectué]],Tableau2712435[[#This Row],[Frais de déplacement]])</f>
        <v>0</v>
      </c>
    </row>
    <row r="19" spans="1:14" ht="18">
      <c r="A19" s="25">
        <v>2026</v>
      </c>
      <c r="B19" s="42">
        <f>EDATE($B$14,Tableau2712435[[#This Row],[N° mois]]-$C$14)</f>
        <v>45705</v>
      </c>
      <c r="C19" s="25">
        <f t="shared" si="0"/>
        <v>2</v>
      </c>
      <c r="D19" s="29"/>
      <c r="E19" s="29">
        <f>Tableau2712435[[#This Row],[Temps réel]]-INT(Tableau2712435[[#This Row],[Temps réel]])</f>
        <v>0</v>
      </c>
      <c r="F19" s="30">
        <f>IF(Tableau2712435[[#This Row],[Cumul du temps à reporter]]&lt;1,0,1)</f>
        <v>0</v>
      </c>
      <c r="G19" s="30" cm="1">
        <f t="array" ref="G19">_xlfn.IFS(E19&lt;1,INT(D19),E19&gt;1,INT(D19)+1)</f>
        <v>0</v>
      </c>
      <c r="H19" s="30"/>
      <c r="I19" s="31">
        <f>Tableau2712435[[#This Row],[Temps déclaré]]*$B$10</f>
        <v>0</v>
      </c>
      <c r="J19" s="31">
        <f>Tableau2712435[[#This Row],[Temps déclaré]]*$B$10</f>
        <v>0</v>
      </c>
      <c r="K19" s="28">
        <f>Tableau2712435[[#This Row],[Temps déclaré]]*$B$11</f>
        <v>0</v>
      </c>
      <c r="L19" s="32"/>
      <c r="M19" s="33">
        <f>$F$5*$F$6*Tableau2712435[[#This Row],[Nombre de déplacements]]</f>
        <v>0</v>
      </c>
      <c r="N19" s="28">
        <f>SUM(Tableau2712435[[#This Row],[Paiement effectué]],Tableau2712435[[#This Row],[Frais de déplacement]])</f>
        <v>0</v>
      </c>
    </row>
    <row r="20" spans="1:14" ht="18">
      <c r="A20" s="25">
        <v>2026</v>
      </c>
      <c r="B20" s="42">
        <f>EDATE($B$14,Tableau2712435[[#This Row],[N° mois]]-$C$14)</f>
        <v>45733</v>
      </c>
      <c r="C20" s="25">
        <f t="shared" si="0"/>
        <v>3</v>
      </c>
      <c r="D20" s="29"/>
      <c r="E20" s="29">
        <f>Tableau2712435[[#This Row],[Temps réel]]-INT(Tableau2712435[[#This Row],[Temps réel]])</f>
        <v>0</v>
      </c>
      <c r="F20" s="30">
        <f>IF(Tableau2712435[[#This Row],[Cumul du temps à reporter]]&lt;1,0,1)</f>
        <v>0</v>
      </c>
      <c r="G20" s="30" cm="1">
        <f t="array" ref="G20">_xlfn.IFS(E20&lt;1,INT(D20),E20&gt;1,INT(D20)+1)</f>
        <v>0</v>
      </c>
      <c r="H20" s="30"/>
      <c r="I20" s="31">
        <f>Tableau2712435[[#This Row],[Temps déclaré]]*$B$10</f>
        <v>0</v>
      </c>
      <c r="J20" s="31">
        <f>Tableau2712435[[#This Row],[Temps déclaré]]*$B$10</f>
        <v>0</v>
      </c>
      <c r="K20" s="28">
        <f>Tableau2712435[[#This Row],[Temps déclaré]]*$B$11</f>
        <v>0</v>
      </c>
      <c r="L20" s="32"/>
      <c r="M20" s="33">
        <f>$F$5*$F$6*Tableau2712435[[#This Row],[Nombre de déplacements]]</f>
        <v>0</v>
      </c>
      <c r="N20" s="28">
        <f>SUM(Tableau2712435[[#This Row],[Paiement effectué]],Tableau2712435[[#This Row],[Frais de déplacement]])</f>
        <v>0</v>
      </c>
    </row>
    <row r="21" spans="1:14" ht="18">
      <c r="A21" s="25">
        <v>2026</v>
      </c>
      <c r="B21" s="42">
        <f>EDATE($B$14,Tableau2712435[[#This Row],[N° mois]]-$C$14)</f>
        <v>45764</v>
      </c>
      <c r="C21" s="25">
        <f t="shared" si="0"/>
        <v>4</v>
      </c>
      <c r="D21" s="29"/>
      <c r="E21" s="29">
        <f>Tableau2712435[[#This Row],[Temps réel]]-INT(Tableau2712435[[#This Row],[Temps réel]])</f>
        <v>0</v>
      </c>
      <c r="F21" s="30">
        <f>IF(Tableau2712435[[#This Row],[Cumul du temps à reporter]]&lt;1,0,1)</f>
        <v>0</v>
      </c>
      <c r="G21" s="30" cm="1">
        <f t="array" ref="G21">_xlfn.IFS(E21&lt;1,INT(D21),E21&gt;1,INT(D21)+1)</f>
        <v>0</v>
      </c>
      <c r="H21" s="30"/>
      <c r="I21" s="31">
        <f>Tableau2712435[[#This Row],[Temps déclaré]]*$B$10</f>
        <v>0</v>
      </c>
      <c r="J21" s="31">
        <f>Tableau2712435[[#This Row],[Temps déclaré]]*$B$10</f>
        <v>0</v>
      </c>
      <c r="K21" s="28">
        <f>Tableau2712435[[#This Row],[Temps déclaré]]*$B$11</f>
        <v>0</v>
      </c>
      <c r="L21" s="32"/>
      <c r="M21" s="33">
        <f>$F$5*$F$6*Tableau2712435[[#This Row],[Nombre de déplacements]]</f>
        <v>0</v>
      </c>
      <c r="N21" s="28">
        <f>SUM(Tableau2712435[[#This Row],[Paiement effectué]],Tableau2712435[[#This Row],[Frais de déplacement]])</f>
        <v>0</v>
      </c>
    </row>
    <row r="22" spans="1:14" ht="18">
      <c r="A22" s="25">
        <v>2026</v>
      </c>
      <c r="B22" s="42">
        <f>EDATE($B$14,Tableau2712435[[#This Row],[N° mois]]-$C$14)</f>
        <v>45794</v>
      </c>
      <c r="C22" s="25">
        <f t="shared" si="0"/>
        <v>5</v>
      </c>
      <c r="D22" s="29"/>
      <c r="E22" s="29">
        <f>Tableau2712435[[#This Row],[Temps réel]]-INT(Tableau2712435[[#This Row],[Temps réel]])</f>
        <v>0</v>
      </c>
      <c r="F22" s="30">
        <f>IF(Tableau2712435[[#This Row],[Cumul du temps à reporter]]&lt;1,0,1)</f>
        <v>0</v>
      </c>
      <c r="G22" s="30" cm="1">
        <f t="array" ref="G22">_xlfn.IFS(E22&lt;1,INT(D22),E22&gt;1,INT(D22)+1)</f>
        <v>0</v>
      </c>
      <c r="H22" s="30"/>
      <c r="I22" s="31">
        <f>Tableau2712435[[#This Row],[Temps déclaré]]*$B$10</f>
        <v>0</v>
      </c>
      <c r="J22" s="31">
        <f>Tableau2712435[[#This Row],[Temps déclaré]]*$B$10</f>
        <v>0</v>
      </c>
      <c r="K22" s="28">
        <f>Tableau2712435[[#This Row],[Temps déclaré]]*$B$11</f>
        <v>0</v>
      </c>
      <c r="L22" s="32"/>
      <c r="M22" s="33">
        <f>$F$5*$F$6*Tableau2712435[[#This Row],[Nombre de déplacements]]</f>
        <v>0</v>
      </c>
      <c r="N22" s="28">
        <f>SUM(Tableau2712435[[#This Row],[Paiement effectué]],Tableau2712435[[#This Row],[Frais de déplacement]])</f>
        <v>0</v>
      </c>
    </row>
    <row r="23" spans="1:14" ht="18">
      <c r="A23" s="25">
        <v>2026</v>
      </c>
      <c r="B23" s="42">
        <f>EDATE($B$14,Tableau2712435[[#This Row],[N° mois]]-$C$14)</f>
        <v>45825</v>
      </c>
      <c r="C23" s="25">
        <f t="shared" si="0"/>
        <v>6</v>
      </c>
      <c r="D23" s="29"/>
      <c r="E23" s="29">
        <f>Tableau2712435[[#This Row],[Temps réel]]-INT(Tableau2712435[[#This Row],[Temps réel]])</f>
        <v>0</v>
      </c>
      <c r="F23" s="30">
        <f>IF(Tableau2712435[[#This Row],[Cumul du temps à reporter]]&lt;1,0,1)</f>
        <v>0</v>
      </c>
      <c r="G23" s="30" cm="1">
        <f t="array" ref="G23">_xlfn.IFS(E23&lt;1,INT(D23),E23&gt;1,INT(D23)+1)</f>
        <v>0</v>
      </c>
      <c r="H23" s="30"/>
      <c r="I23" s="31">
        <f>Tableau2712435[[#This Row],[Temps déclaré]]*$B$10</f>
        <v>0</v>
      </c>
      <c r="J23" s="31">
        <f>Tableau2712435[[#This Row],[Temps déclaré]]*$B$10</f>
        <v>0</v>
      </c>
      <c r="K23" s="28">
        <f>Tableau2712435[[#This Row],[Temps déclaré]]*$B$11</f>
        <v>0</v>
      </c>
      <c r="L23" s="32"/>
      <c r="M23" s="33">
        <f>$F$5*$F$6*Tableau2712435[[#This Row],[Nombre de déplacements]]</f>
        <v>0</v>
      </c>
      <c r="N23" s="28">
        <f>SUM(Tableau2712435[[#This Row],[Paiement effectué]],Tableau2712435[[#This Row],[Frais de déplacement]])</f>
        <v>0</v>
      </c>
    </row>
    <row r="24" spans="1:14" ht="18">
      <c r="A24" s="25">
        <v>2026</v>
      </c>
      <c r="B24" s="42">
        <f>EDATE($B$14,Tableau2712435[[#This Row],[N° mois]]-$C$14)</f>
        <v>45855</v>
      </c>
      <c r="C24" s="25">
        <f t="shared" si="0"/>
        <v>7</v>
      </c>
      <c r="D24" s="29"/>
      <c r="E24" s="29">
        <f>Tableau2712435[[#This Row],[Temps réel]]-INT(Tableau2712435[[#This Row],[Temps réel]])</f>
        <v>0</v>
      </c>
      <c r="F24" s="30">
        <f>IF(Tableau2712435[[#This Row],[Cumul du temps à reporter]]&lt;1,0,1)</f>
        <v>0</v>
      </c>
      <c r="G24" s="30" cm="1">
        <f t="array" ref="G24">_xlfn.IFS(E24&lt;1,INT(D24),E24&gt;1,INT(D24)+1)</f>
        <v>0</v>
      </c>
      <c r="H24" s="30"/>
      <c r="I24" s="31">
        <f>Tableau2712435[[#This Row],[Temps déclaré]]*$B$10</f>
        <v>0</v>
      </c>
      <c r="J24" s="31">
        <f>Tableau2712435[[#This Row],[Temps déclaré]]*$B$10</f>
        <v>0</v>
      </c>
      <c r="K24" s="28">
        <f>Tableau2712435[[#This Row],[Temps déclaré]]*$B$11</f>
        <v>0</v>
      </c>
      <c r="L24" s="32"/>
      <c r="M24" s="33">
        <f>$F$5*$F$6*Tableau2712435[[#This Row],[Nombre de déplacements]]</f>
        <v>0</v>
      </c>
      <c r="N24" s="28">
        <f>SUM(Tableau2712435[[#This Row],[Paiement effectué]],Tableau2712435[[#This Row],[Frais de déplacement]])</f>
        <v>0</v>
      </c>
    </row>
    <row r="25" spans="1:14" ht="18">
      <c r="A25" s="25" t="s">
        <v>167</v>
      </c>
      <c r="B25" s="25"/>
      <c r="C25" s="25"/>
      <c r="D25" s="29">
        <f>SUBTOTAL(109,Tableau2712435[Temps réel])</f>
        <v>15.516666666666666</v>
      </c>
      <c r="E25" s="25"/>
      <c r="F25" s="25"/>
      <c r="G25" s="30">
        <f>SUBTOTAL(109,Tableau2712435[Temps rémunéré])</f>
        <v>15</v>
      </c>
      <c r="H25" s="30">
        <f>SUBTOTAL(109,Tableau2712435[Temps déclaré])</f>
        <v>16</v>
      </c>
      <c r="I25" s="34">
        <f>SUBTOTAL(109,Tableau2712435[Paiement effectué])</f>
        <v>640</v>
      </c>
      <c r="J25" s="34">
        <f>SUBTOTAL(109,Tableau2712435[Salaire net])</f>
        <v>640</v>
      </c>
      <c r="K25" s="35">
        <f>SUBTOTAL(109,Tableau2712435[Salaire brut])</f>
        <v>819.2</v>
      </c>
      <c r="L25" s="30"/>
      <c r="M25" s="33">
        <f>SUBTOTAL(109,Tableau2712435[Frais de déplacement])</f>
        <v>282.38400000000001</v>
      </c>
      <c r="N25" s="35">
        <f>SUBTOTAL(109,Tableau2712435[Total])</f>
        <v>922.38400000000001</v>
      </c>
    </row>
    <row r="26" spans="1:14" ht="18">
      <c r="A26" s="25"/>
      <c r="B26" s="25"/>
      <c r="C26" s="25"/>
      <c r="D26" s="25"/>
      <c r="E26" s="25"/>
      <c r="F26" s="25"/>
      <c r="G26" s="25"/>
      <c r="H26" s="25"/>
      <c r="I26" s="25"/>
      <c r="J26" s="25"/>
      <c r="K26" s="25"/>
      <c r="L26" s="25"/>
      <c r="M26" s="25"/>
      <c r="N26" s="25"/>
    </row>
    <row r="27" spans="1:14" ht="18">
      <c r="A27" s="36" t="s">
        <v>204</v>
      </c>
      <c r="B27" s="37">
        <v>46014</v>
      </c>
      <c r="C27" s="25"/>
      <c r="D27" s="25"/>
      <c r="E27" s="25"/>
      <c r="F27" s="25"/>
      <c r="G27" s="25"/>
      <c r="H27" s="25"/>
      <c r="I27" s="25"/>
      <c r="J27" s="25"/>
      <c r="K27" s="25"/>
      <c r="L27" s="25"/>
      <c r="M27" s="25"/>
      <c r="N27" s="25"/>
    </row>
    <row r="28" spans="1:14" ht="18">
      <c r="A28" s="36" t="s">
        <v>205</v>
      </c>
      <c r="B28" s="39">
        <f>H17</f>
        <v>4</v>
      </c>
      <c r="C28" s="25"/>
      <c r="D28" s="25"/>
      <c r="E28" s="25"/>
      <c r="F28" s="25"/>
      <c r="G28" s="25"/>
      <c r="H28" s="25"/>
      <c r="I28" s="25"/>
      <c r="J28" s="25"/>
      <c r="K28" s="25"/>
      <c r="L28" s="25"/>
      <c r="M28" s="25"/>
      <c r="N28" s="25"/>
    </row>
    <row r="29" spans="1:14" ht="18">
      <c r="A29" s="36" t="s">
        <v>203</v>
      </c>
      <c r="B29" s="33">
        <f>M17</f>
        <v>70.596000000000004</v>
      </c>
      <c r="C29" s="25"/>
      <c r="D29" s="25"/>
      <c r="E29" s="25"/>
      <c r="F29" s="25"/>
      <c r="G29" s="25"/>
      <c r="H29" s="25"/>
      <c r="I29" s="25"/>
      <c r="J29" s="25"/>
      <c r="K29" s="25"/>
      <c r="L29" s="25"/>
      <c r="M29" s="25"/>
      <c r="N29" s="25"/>
    </row>
  </sheetData>
  <mergeCells count="2">
    <mergeCell ref="A1:N2"/>
    <mergeCell ref="B3:D3"/>
  </mergeCells>
  <conditionalFormatting sqref="F14:F24">
    <cfRule type="cellIs" dxfId="36" priority="1" operator="equal">
      <formula>1</formula>
    </cfRule>
  </conditionalFormatting>
  <pageMargins left="0.7" right="0.7" top="0.75" bottom="0.75" header="0.3" footer="0.3"/>
  <pageSetup paperSize="9" scale="44"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D6581-2BD7-4D32-B887-7B58233D54A8}">
  <dimension ref="A1:G8"/>
  <sheetViews>
    <sheetView tabSelected="1" zoomScale="145" zoomScaleNormal="145" workbookViewId="0">
      <selection activeCell="F13" sqref="F13"/>
    </sheetView>
  </sheetViews>
  <sheetFormatPr defaultColWidth="11.42578125" defaultRowHeight="14.45"/>
  <cols>
    <col min="1" max="1" width="24.5703125" bestFit="1" customWidth="1"/>
    <col min="2" max="2" width="17.7109375" customWidth="1"/>
    <col min="3" max="3" width="18" bestFit="1" customWidth="1"/>
    <col min="6" max="6" width="17.85546875" bestFit="1" customWidth="1"/>
  </cols>
  <sheetData>
    <row r="1" spans="1:7">
      <c r="A1" t="s">
        <v>204</v>
      </c>
      <c r="B1" s="18">
        <v>45953</v>
      </c>
      <c r="C1" s="18"/>
    </row>
    <row r="3" spans="1:7">
      <c r="A3" t="s">
        <v>213</v>
      </c>
      <c r="B3" t="s">
        <v>184</v>
      </c>
      <c r="C3" t="s">
        <v>214</v>
      </c>
      <c r="D3" t="s">
        <v>201</v>
      </c>
      <c r="E3" t="s">
        <v>200</v>
      </c>
      <c r="F3" t="s">
        <v>215</v>
      </c>
    </row>
    <row r="4" spans="1:7">
      <c r="A4" t="s">
        <v>110</v>
      </c>
      <c r="B4" t="str">
        <f>Camille!B5</f>
        <v>Z3856707990000</v>
      </c>
      <c r="C4" s="15">
        <f>Camille!B28</f>
        <v>3</v>
      </c>
      <c r="D4" s="8">
        <f>Camille!K17</f>
        <v>134.39999999999998</v>
      </c>
      <c r="E4" s="8">
        <f>Camille!J17</f>
        <v>105</v>
      </c>
    </row>
    <row r="5" spans="1:7">
      <c r="A5" t="s">
        <v>159</v>
      </c>
      <c r="B5" t="str">
        <f>Valentine!B5</f>
        <v>Z3895566290003</v>
      </c>
      <c r="C5" s="15">
        <f>Valentine!B28</f>
        <v>3</v>
      </c>
      <c r="D5" s="8">
        <f>Valentine!K16</f>
        <v>134.39999999999998</v>
      </c>
      <c r="E5" s="8">
        <f>Valentine!J16</f>
        <v>120</v>
      </c>
      <c r="G5" s="44" t="s">
        <v>216</v>
      </c>
    </row>
    <row r="6" spans="1:7">
      <c r="A6" t="s">
        <v>71</v>
      </c>
      <c r="B6" t="s">
        <v>211</v>
      </c>
      <c r="C6" s="15">
        <f>Léon!B29</f>
        <v>5</v>
      </c>
      <c r="D6" s="8">
        <f>Léon!K18</f>
        <v>256</v>
      </c>
      <c r="E6" s="8">
        <f>Léon!J18</f>
        <v>200</v>
      </c>
    </row>
    <row r="7" spans="1:7">
      <c r="A7" t="s">
        <v>127</v>
      </c>
      <c r="B7" t="s">
        <v>217</v>
      </c>
      <c r="C7" s="15">
        <f>Léane!B28</f>
        <v>4</v>
      </c>
      <c r="D7" s="8">
        <f>Léane!K17</f>
        <v>204.8</v>
      </c>
      <c r="E7" s="8">
        <f>Léane!J17</f>
        <v>160</v>
      </c>
    </row>
    <row r="8" spans="1:7" ht="13.9" customHeight="1">
      <c r="A8" t="s">
        <v>167</v>
      </c>
      <c r="C8" s="15">
        <f>SUBTOTAL(109,Tableau12[Heures déclarées])</f>
        <v>15</v>
      </c>
      <c r="D8" s="12">
        <f>SUBTOTAL(109,Tableau12[Salaire brut])</f>
        <v>729.59999999999991</v>
      </c>
      <c r="E8" s="12">
        <f>SUBTOTAL(109,Tableau12[Salaire net])</f>
        <v>585</v>
      </c>
    </row>
  </sheetData>
  <conditionalFormatting sqref="B4:B6">
    <cfRule type="duplicateValues" dxfId="4" priority="12"/>
  </conditionalFormatting>
  <conditionalFormatting sqref="B4:B7">
    <cfRule type="duplicateValues" dxfId="3" priority="13"/>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DFD3-F7D0-4D6E-9A77-3DA70ECB312A}">
  <dimension ref="A1:C5"/>
  <sheetViews>
    <sheetView workbookViewId="0">
      <selection activeCell="H17" sqref="H17"/>
    </sheetView>
  </sheetViews>
  <sheetFormatPr defaultColWidth="11.42578125" defaultRowHeight="14.45"/>
  <cols>
    <col min="1" max="1" width="15.42578125" bestFit="1" customWidth="1"/>
    <col min="2" max="2" width="25.140625" bestFit="1" customWidth="1"/>
  </cols>
  <sheetData>
    <row r="1" spans="1:3">
      <c r="A1" t="s">
        <v>218</v>
      </c>
      <c r="B1" t="s">
        <v>219</v>
      </c>
      <c r="C1" t="s">
        <v>220</v>
      </c>
    </row>
    <row r="2" spans="1:3">
      <c r="A2" t="s">
        <v>221</v>
      </c>
      <c r="B2" s="43" t="s">
        <v>222</v>
      </c>
      <c r="C2" s="43" t="s">
        <v>223</v>
      </c>
    </row>
    <row r="3" spans="1:3">
      <c r="A3" t="s">
        <v>224</v>
      </c>
      <c r="B3" s="43" t="s">
        <v>225</v>
      </c>
      <c r="C3" s="43" t="s">
        <v>226</v>
      </c>
    </row>
    <row r="4" spans="1:3">
      <c r="A4" t="s">
        <v>227</v>
      </c>
      <c r="B4" s="43" t="s">
        <v>228</v>
      </c>
      <c r="C4" s="43" t="s">
        <v>229</v>
      </c>
    </row>
    <row r="5" spans="1:3">
      <c r="A5" t="s">
        <v>230</v>
      </c>
      <c r="B5" s="43" t="s">
        <v>231</v>
      </c>
      <c r="C5" s="43" t="s">
        <v>232</v>
      </c>
    </row>
  </sheetData>
  <hyperlinks>
    <hyperlink ref="B5" r:id="rId1" xr:uid="{63282CA2-E03A-47DC-B5B1-8433FBC20EAE}"/>
    <hyperlink ref="B2" r:id="rId2" xr:uid="{82AF9AA7-677B-40E9-895C-AE6C4571F2B9}"/>
    <hyperlink ref="B3" r:id="rId3" xr:uid="{61724F82-F1A8-4FC4-ABAA-5CCA36A65BFF}"/>
    <hyperlink ref="B4" r:id="rId4" xr:uid="{F8C49D38-1DAF-4980-8264-4CF8064B7061}"/>
    <hyperlink ref="C2" r:id="rId5" xr:uid="{8E0C6C9B-A31F-493C-B08C-F2AC93005FB3}"/>
    <hyperlink ref="C3" r:id="rId6" xr:uid="{CF3AB3FC-6E56-4E14-B49B-626FC9E6AD9F}"/>
    <hyperlink ref="C4" r:id="rId7" xr:uid="{74D1A67F-8BA3-44E6-923F-C48D8457F74C}"/>
    <hyperlink ref="C5" r:id="rId8" xr:uid="{9036994D-C5A0-486C-AD92-E7C2DC395D7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D54E8-EF35-49A3-A86C-27294F5EA5CF}">
  <dimension ref="A1:C2"/>
  <sheetViews>
    <sheetView workbookViewId="0">
      <selection activeCell="B2" sqref="B2"/>
    </sheetView>
  </sheetViews>
  <sheetFormatPr defaultColWidth="11.42578125" defaultRowHeight="14.45"/>
  <sheetData>
    <row r="1" spans="1:3">
      <c r="A1" t="s">
        <v>218</v>
      </c>
      <c r="B1" t="s">
        <v>219</v>
      </c>
      <c r="C1" t="s">
        <v>220</v>
      </c>
    </row>
    <row r="2" spans="1:3">
      <c r="A2" t="s">
        <v>221</v>
      </c>
      <c r="B2" s="43" t="s">
        <v>233</v>
      </c>
      <c r="C2" s="43" t="s">
        <v>223</v>
      </c>
    </row>
  </sheetData>
  <hyperlinks>
    <hyperlink ref="B2" r:id="rId1" xr:uid="{5EE7646F-303A-411C-9B3A-F566D706BAC0}"/>
    <hyperlink ref="C2" r:id="rId2" xr:uid="{C1506CC4-D6BE-40D5-A8A5-3B4217FCD20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2025-03-28T10:13:05Z</dcterms:created>
  <dcterms:modified xsi:type="dcterms:W3CDTF">2026-02-26T01:22:36Z</dcterms:modified>
  <cp:category/>
  <cp:contentStatus/>
</cp:coreProperties>
</file>